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output\"/>
    </mc:Choice>
  </mc:AlternateContent>
  <xr:revisionPtr revIDLastSave="0" documentId="13_ncr:1_{B4172870-51FA-4CBC-8EAC-2A1C4F362B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iginal Dataset" sheetId="1" r:id="rId1"/>
    <sheet name="Exercise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2" l="1"/>
  <c r="R9" i="2"/>
  <c r="Q9" i="2"/>
  <c r="P9" i="2"/>
  <c r="T9" i="2" s="1"/>
  <c r="O9" i="2"/>
  <c r="S8" i="2"/>
  <c r="R8" i="2"/>
  <c r="Q8" i="2"/>
  <c r="P8" i="2"/>
  <c r="T8" i="2" s="1"/>
  <c r="O8" i="2"/>
  <c r="S7" i="2"/>
  <c r="R7" i="2"/>
  <c r="Q7" i="2"/>
  <c r="P7" i="2"/>
  <c r="T7" i="2" s="1"/>
  <c r="O7" i="2"/>
  <c r="S6" i="2"/>
  <c r="R6" i="2"/>
  <c r="Q6" i="2"/>
  <c r="P6" i="2"/>
  <c r="T6" i="2" s="1"/>
  <c r="O6" i="2"/>
  <c r="S5" i="2"/>
  <c r="R5" i="2"/>
  <c r="Q5" i="2"/>
  <c r="P5" i="2"/>
  <c r="T5" i="2" s="1"/>
  <c r="O5" i="2"/>
  <c r="S4" i="2"/>
  <c r="R4" i="2"/>
  <c r="Q4" i="2"/>
  <c r="P4" i="2"/>
  <c r="T4" i="2" s="1"/>
  <c r="O4" i="2"/>
  <c r="S3" i="2"/>
  <c r="R3" i="2"/>
  <c r="Q3" i="2"/>
  <c r="P3" i="2"/>
  <c r="T3" i="2" s="1"/>
  <c r="O3" i="2"/>
  <c r="S2" i="2"/>
  <c r="R2" i="2"/>
  <c r="Q2" i="2"/>
  <c r="P2" i="2"/>
  <c r="T2" i="2" s="1"/>
  <c r="O2" i="2"/>
  <c r="U9" i="2" l="1"/>
  <c r="V9" i="2"/>
  <c r="U8" i="2"/>
  <c r="V8" i="2"/>
  <c r="U7" i="2"/>
  <c r="V7" i="2"/>
  <c r="U6" i="2"/>
  <c r="V6" i="2"/>
  <c r="U5" i="2"/>
  <c r="V5" i="2"/>
  <c r="U4" i="2"/>
  <c r="V4" i="2"/>
  <c r="U3" i="2"/>
  <c r="V3" i="2"/>
  <c r="U2" i="2"/>
  <c r="V2" i="2"/>
</calcChain>
</file>

<file path=xl/sharedStrings.xml><?xml version="1.0" encoding="utf-8"?>
<sst xmlns="http://schemas.openxmlformats.org/spreadsheetml/2006/main" count="110" uniqueCount="46">
  <si>
    <t>customer_id</t>
  </si>
  <si>
    <t>customer_name</t>
  </si>
  <si>
    <t>customer_type</t>
  </si>
  <si>
    <t>geography</t>
  </si>
  <si>
    <t>crr_score_0_100</t>
  </si>
  <si>
    <t>adverse_media</t>
  </si>
  <si>
    <t>pep</t>
  </si>
  <si>
    <t>sanctions</t>
  </si>
  <si>
    <t>ownership_complexity</t>
  </si>
  <si>
    <t>cross_border_activity</t>
  </si>
  <si>
    <t>cash_intensity</t>
  </si>
  <si>
    <t>expected_activity_mismatch</t>
  </si>
  <si>
    <t>transaction_spike</t>
  </si>
  <si>
    <t>sudden_profile_change</t>
  </si>
  <si>
    <t>current_review_outcome</t>
  </si>
  <si>
    <t>H001</t>
  </si>
  <si>
    <t>Atlas Import Group</t>
  </si>
  <si>
    <t>Business</t>
  </si>
  <si>
    <t>Cross-border</t>
  </si>
  <si>
    <t>EDD</t>
  </si>
  <si>
    <t>H002</t>
  </si>
  <si>
    <t>Bright Side Retail</t>
  </si>
  <si>
    <t>Retail</t>
  </si>
  <si>
    <t>Domestic</t>
  </si>
  <si>
    <t>Standard</t>
  </si>
  <si>
    <t>H003</t>
  </si>
  <si>
    <t>Cedar Family Office</t>
  </si>
  <si>
    <t>Private wealth</t>
  </si>
  <si>
    <t>H004</t>
  </si>
  <si>
    <t>Delta Community Health</t>
  </si>
  <si>
    <t>H005</t>
  </si>
  <si>
    <t>Evergreen Payments LLC</t>
  </si>
  <si>
    <t>H006</t>
  </si>
  <si>
    <t>Frontier Logistics</t>
  </si>
  <si>
    <t>H007</t>
  </si>
  <si>
    <t>Granite Travel Co</t>
  </si>
  <si>
    <t>H008</t>
  </si>
  <si>
    <t>Harbor Local Markets</t>
  </si>
  <si>
    <t>base_tier</t>
  </si>
  <si>
    <t>above_threshold</t>
  </si>
  <si>
    <t>trigger_bucket_adverse_media</t>
  </si>
  <si>
    <t>trigger_bucket_pep</t>
  </si>
  <si>
    <t>trigger_bucket_sanctions</t>
  </si>
  <si>
    <t>edd_decision</t>
  </si>
  <si>
    <t>review_frequency</t>
  </si>
  <si>
    <t>recommended_action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</si>
</sst>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opLeftCell="B1" workbookViewId="0">
      <pane ySplit="1" topLeftCell="A2" activePane="bottomLeft" state="frozen"/>
      <selection pane="bottomLeft" sqref="A1:O9"/>
    </sheetView>
  </sheetViews>
  <sheetFormatPr defaultRowHeight="15" x14ac:dyDescent="0.25"/>
  <cols>
    <col min="1" max="1" width="13" customWidth="1"/>
    <col min="2" max="2" width="24" customWidth="1"/>
    <col min="3" max="3" width="16" customWidth="1"/>
    <col min="4" max="4" width="14" customWidth="1"/>
    <col min="5" max="5" width="17" customWidth="1"/>
    <col min="6" max="6" width="15" customWidth="1"/>
    <col min="7" max="7" width="5" customWidth="1"/>
    <col min="8" max="8" width="11" customWidth="1"/>
    <col min="9" max="9" width="22" customWidth="1"/>
    <col min="10" max="10" width="23" customWidth="1"/>
    <col min="11" max="11" width="16" customWidth="1"/>
    <col min="12" max="12" width="28" customWidth="1"/>
    <col min="13" max="13" width="19" customWidth="1"/>
    <col min="14" max="14" width="23" customWidth="1"/>
    <col min="15" max="15" width="2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>
        <v>78</v>
      </c>
      <c r="F2" s="2">
        <v>1</v>
      </c>
      <c r="G2" s="2">
        <v>0</v>
      </c>
      <c r="H2" s="2">
        <v>0</v>
      </c>
      <c r="I2" s="2">
        <v>1</v>
      </c>
      <c r="J2" s="2">
        <v>1</v>
      </c>
      <c r="K2" s="2">
        <v>0</v>
      </c>
      <c r="L2" s="2">
        <v>0</v>
      </c>
      <c r="M2" s="2">
        <v>1</v>
      </c>
      <c r="N2" s="2">
        <v>1</v>
      </c>
      <c r="O2" s="2" t="s">
        <v>19</v>
      </c>
    </row>
    <row r="3" spans="1:15" x14ac:dyDescent="0.25">
      <c r="A3" s="2" t="s">
        <v>20</v>
      </c>
      <c r="B3" s="2" t="s">
        <v>21</v>
      </c>
      <c r="C3" s="2" t="s">
        <v>22</v>
      </c>
      <c r="D3" s="2" t="s">
        <v>23</v>
      </c>
      <c r="E3" s="2">
        <v>42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 t="s">
        <v>24</v>
      </c>
    </row>
    <row r="4" spans="1:15" x14ac:dyDescent="0.25">
      <c r="A4" s="2" t="s">
        <v>25</v>
      </c>
      <c r="B4" s="2" t="s">
        <v>26</v>
      </c>
      <c r="C4" s="2" t="s">
        <v>27</v>
      </c>
      <c r="D4" s="2" t="s">
        <v>18</v>
      </c>
      <c r="E4" s="2">
        <v>82</v>
      </c>
      <c r="F4" s="2">
        <v>0</v>
      </c>
      <c r="G4" s="2">
        <v>1</v>
      </c>
      <c r="H4" s="2">
        <v>0</v>
      </c>
      <c r="I4" s="2">
        <v>1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 t="s">
        <v>19</v>
      </c>
    </row>
    <row r="5" spans="1:15" x14ac:dyDescent="0.25">
      <c r="A5" s="2" t="s">
        <v>28</v>
      </c>
      <c r="B5" s="2" t="s">
        <v>29</v>
      </c>
      <c r="C5" s="2" t="s">
        <v>17</v>
      </c>
      <c r="D5" s="2" t="s">
        <v>23</v>
      </c>
      <c r="E5" s="2">
        <v>46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 t="s">
        <v>24</v>
      </c>
    </row>
    <row r="6" spans="1:15" x14ac:dyDescent="0.25">
      <c r="A6" s="2" t="s">
        <v>30</v>
      </c>
      <c r="B6" s="2" t="s">
        <v>31</v>
      </c>
      <c r="C6" s="2" t="s">
        <v>17</v>
      </c>
      <c r="D6" s="2" t="s">
        <v>18</v>
      </c>
      <c r="E6" s="2">
        <v>91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 t="s">
        <v>19</v>
      </c>
    </row>
    <row r="7" spans="1:15" x14ac:dyDescent="0.25">
      <c r="A7" s="2" t="s">
        <v>32</v>
      </c>
      <c r="B7" s="2" t="s">
        <v>33</v>
      </c>
      <c r="C7" s="2" t="s">
        <v>17</v>
      </c>
      <c r="D7" s="2" t="s">
        <v>23</v>
      </c>
      <c r="E7" s="2">
        <v>67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0</v>
      </c>
      <c r="L7" s="2">
        <v>0</v>
      </c>
      <c r="M7" s="2">
        <v>1</v>
      </c>
      <c r="N7" s="2">
        <v>0</v>
      </c>
      <c r="O7" s="2" t="s">
        <v>19</v>
      </c>
    </row>
    <row r="8" spans="1:15" x14ac:dyDescent="0.25">
      <c r="A8" s="2" t="s">
        <v>34</v>
      </c>
      <c r="B8" s="2" t="s">
        <v>35</v>
      </c>
      <c r="C8" s="2" t="s">
        <v>17</v>
      </c>
      <c r="D8" s="2" t="s">
        <v>18</v>
      </c>
      <c r="E8" s="2">
        <v>58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 t="s">
        <v>19</v>
      </c>
    </row>
    <row r="9" spans="1:15" x14ac:dyDescent="0.25">
      <c r="A9" s="2" t="s">
        <v>36</v>
      </c>
      <c r="B9" s="2" t="s">
        <v>37</v>
      </c>
      <c r="C9" s="2" t="s">
        <v>22</v>
      </c>
      <c r="D9" s="2" t="s">
        <v>23</v>
      </c>
      <c r="E9" s="2">
        <v>35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"/>
  <sheetViews>
    <sheetView tabSelected="1" topLeftCell="N1" workbookViewId="0">
      <pane ySplit="1" topLeftCell="A2" activePane="bottomLeft" state="frozen"/>
      <selection pane="bottomLeft" sqref="A1:W9"/>
    </sheetView>
  </sheetViews>
  <sheetFormatPr defaultRowHeight="15" x14ac:dyDescent="0.25"/>
  <cols>
    <col min="1" max="1" width="13" customWidth="1"/>
    <col min="2" max="2" width="24" customWidth="1"/>
    <col min="3" max="3" width="16" customWidth="1"/>
    <col min="4" max="4" width="14" customWidth="1"/>
    <col min="5" max="5" width="17" customWidth="1"/>
    <col min="6" max="6" width="15" customWidth="1"/>
    <col min="7" max="7" width="5" customWidth="1"/>
    <col min="8" max="8" width="11" customWidth="1"/>
    <col min="9" max="9" width="22" customWidth="1"/>
    <col min="10" max="10" width="23" customWidth="1"/>
    <col min="11" max="11" width="16" customWidth="1"/>
    <col min="12" max="12" width="28" customWidth="1"/>
    <col min="13" max="13" width="19" customWidth="1"/>
    <col min="14" max="14" width="23" customWidth="1"/>
    <col min="15" max="15" width="32" customWidth="1"/>
    <col min="16" max="17" width="17" customWidth="1"/>
    <col min="18" max="18" width="30" customWidth="1"/>
    <col min="19" max="19" width="20" customWidth="1"/>
    <col min="20" max="22" width="32" customWidth="1"/>
    <col min="23" max="23" width="20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</row>
    <row r="2" spans="1:23" x14ac:dyDescent="0.25">
      <c r="A2" s="2" t="s">
        <v>15</v>
      </c>
      <c r="B2" s="2" t="s">
        <v>16</v>
      </c>
      <c r="C2" s="2" t="s">
        <v>17</v>
      </c>
      <c r="D2" s="2" t="s">
        <v>18</v>
      </c>
      <c r="E2" s="2">
        <v>78</v>
      </c>
      <c r="F2" s="2">
        <v>1</v>
      </c>
      <c r="G2" s="2">
        <v>0</v>
      </c>
      <c r="H2" s="2">
        <v>0</v>
      </c>
      <c r="I2" s="2">
        <v>1</v>
      </c>
      <c r="J2" s="2">
        <v>1</v>
      </c>
      <c r="K2" s="2">
        <v>0</v>
      </c>
      <c r="L2" s="2">
        <v>0</v>
      </c>
      <c r="M2" s="2">
        <v>1</v>
      </c>
      <c r="N2" s="2">
        <v>1</v>
      </c>
      <c r="O2" s="2" t="str">
        <f t="shared" ref="O2:O9" si="0">IF(E2&lt;50,"Low",IF(E2&lt;75,"Medium","High"))</f>
        <v>High</v>
      </c>
      <c r="P2" s="2">
        <f t="shared" ref="P2:P9" si="1">IF(E2&gt;=75,1,0)</f>
        <v>1</v>
      </c>
      <c r="Q2" s="2">
        <f t="shared" ref="Q2:S9" si="2">IF(F2=1,1,0)</f>
        <v>1</v>
      </c>
      <c r="R2" s="2">
        <f t="shared" si="2"/>
        <v>0</v>
      </c>
      <c r="S2" s="2">
        <f t="shared" si="2"/>
        <v>0</v>
      </c>
      <c r="T2" s="2" t="str">
        <f t="shared" ref="T2:T9" si="3">IF(OR(P2=1,Q2=1,R2=1,S2=1),"EDD","Standard")</f>
        <v>EDD</v>
      </c>
      <c r="U2" s="2" t="str">
        <f t="shared" ref="U2:U9" si="4">IF(T2="EDD","Quarterly","Annual")</f>
        <v>Quarterly</v>
      </c>
      <c r="V2" s="2" t="str">
        <f t="shared" ref="V2:V9" si="5">IF(T2="EDD","Enhanced due diligence review","Standard periodic review")</f>
        <v>Enhanced due diligence review</v>
      </c>
      <c r="W2" s="2"/>
    </row>
    <row r="3" spans="1:23" x14ac:dyDescent="0.25">
      <c r="A3" s="2" t="s">
        <v>20</v>
      </c>
      <c r="B3" s="2" t="s">
        <v>21</v>
      </c>
      <c r="C3" s="2" t="s">
        <v>22</v>
      </c>
      <c r="D3" s="2" t="s">
        <v>23</v>
      </c>
      <c r="E3" s="2">
        <v>42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 t="str">
        <f t="shared" si="0"/>
        <v>Low</v>
      </c>
      <c r="P3" s="2">
        <f t="shared" si="1"/>
        <v>0</v>
      </c>
      <c r="Q3" s="2">
        <f t="shared" si="2"/>
        <v>0</v>
      </c>
      <c r="R3" s="2">
        <f t="shared" si="2"/>
        <v>0</v>
      </c>
      <c r="S3" s="2">
        <f t="shared" si="2"/>
        <v>0</v>
      </c>
      <c r="T3" s="2" t="str">
        <f t="shared" si="3"/>
        <v>Standard</v>
      </c>
      <c r="U3" s="2" t="str">
        <f t="shared" si="4"/>
        <v>Annual</v>
      </c>
      <c r="V3" s="2" t="str">
        <f t="shared" si="5"/>
        <v>Standard periodic review</v>
      </c>
      <c r="W3" s="2"/>
    </row>
    <row r="4" spans="1:23" x14ac:dyDescent="0.25">
      <c r="A4" s="2" t="s">
        <v>25</v>
      </c>
      <c r="B4" s="2" t="s">
        <v>26</v>
      </c>
      <c r="C4" s="2" t="s">
        <v>27</v>
      </c>
      <c r="D4" s="2" t="s">
        <v>18</v>
      </c>
      <c r="E4" s="2">
        <v>82</v>
      </c>
      <c r="F4" s="2">
        <v>0</v>
      </c>
      <c r="G4" s="2">
        <v>1</v>
      </c>
      <c r="H4" s="2">
        <v>0</v>
      </c>
      <c r="I4" s="2">
        <v>1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 t="str">
        <f t="shared" si="0"/>
        <v>High</v>
      </c>
      <c r="P4" s="2">
        <f t="shared" si="1"/>
        <v>1</v>
      </c>
      <c r="Q4" s="2">
        <f t="shared" si="2"/>
        <v>0</v>
      </c>
      <c r="R4" s="2">
        <f t="shared" si="2"/>
        <v>1</v>
      </c>
      <c r="S4" s="2">
        <f t="shared" si="2"/>
        <v>0</v>
      </c>
      <c r="T4" s="2" t="str">
        <f t="shared" si="3"/>
        <v>EDD</v>
      </c>
      <c r="U4" s="2" t="str">
        <f t="shared" si="4"/>
        <v>Quarterly</v>
      </c>
      <c r="V4" s="2" t="str">
        <f t="shared" si="5"/>
        <v>Enhanced due diligence review</v>
      </c>
      <c r="W4" s="2"/>
    </row>
    <row r="5" spans="1:23" x14ac:dyDescent="0.25">
      <c r="A5" s="2" t="s">
        <v>28</v>
      </c>
      <c r="B5" s="2" t="s">
        <v>29</v>
      </c>
      <c r="C5" s="2" t="s">
        <v>17</v>
      </c>
      <c r="D5" s="2" t="s">
        <v>23</v>
      </c>
      <c r="E5" s="2">
        <v>46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 t="str">
        <f t="shared" si="0"/>
        <v>Low</v>
      </c>
      <c r="P5" s="2">
        <f t="shared" si="1"/>
        <v>0</v>
      </c>
      <c r="Q5" s="2">
        <f t="shared" si="2"/>
        <v>0</v>
      </c>
      <c r="R5" s="2">
        <f t="shared" si="2"/>
        <v>0</v>
      </c>
      <c r="S5" s="2">
        <f t="shared" si="2"/>
        <v>0</v>
      </c>
      <c r="T5" s="2" t="str">
        <f t="shared" si="3"/>
        <v>Standard</v>
      </c>
      <c r="U5" s="2" t="str">
        <f t="shared" si="4"/>
        <v>Annual</v>
      </c>
      <c r="V5" s="2" t="str">
        <f t="shared" si="5"/>
        <v>Standard periodic review</v>
      </c>
      <c r="W5" s="2"/>
    </row>
    <row r="6" spans="1:23" x14ac:dyDescent="0.25">
      <c r="A6" s="2" t="s">
        <v>30</v>
      </c>
      <c r="B6" s="2" t="s">
        <v>31</v>
      </c>
      <c r="C6" s="2" t="s">
        <v>17</v>
      </c>
      <c r="D6" s="2" t="s">
        <v>18</v>
      </c>
      <c r="E6" s="2">
        <v>91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 t="str">
        <f t="shared" si="0"/>
        <v>High</v>
      </c>
      <c r="P6" s="2">
        <f t="shared" si="1"/>
        <v>1</v>
      </c>
      <c r="Q6" s="2">
        <f t="shared" si="2"/>
        <v>1</v>
      </c>
      <c r="R6" s="2">
        <f t="shared" si="2"/>
        <v>1</v>
      </c>
      <c r="S6" s="2">
        <f t="shared" si="2"/>
        <v>1</v>
      </c>
      <c r="T6" s="2" t="str">
        <f t="shared" si="3"/>
        <v>EDD</v>
      </c>
      <c r="U6" s="2" t="str">
        <f t="shared" si="4"/>
        <v>Quarterly</v>
      </c>
      <c r="V6" s="2" t="str">
        <f t="shared" si="5"/>
        <v>Enhanced due diligence review</v>
      </c>
      <c r="W6" s="2"/>
    </row>
    <row r="7" spans="1:23" x14ac:dyDescent="0.25">
      <c r="A7" s="2" t="s">
        <v>32</v>
      </c>
      <c r="B7" s="2" t="s">
        <v>33</v>
      </c>
      <c r="C7" s="2" t="s">
        <v>17</v>
      </c>
      <c r="D7" s="2" t="s">
        <v>23</v>
      </c>
      <c r="E7" s="2">
        <v>67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0</v>
      </c>
      <c r="L7" s="2">
        <v>0</v>
      </c>
      <c r="M7" s="2">
        <v>1</v>
      </c>
      <c r="N7" s="2">
        <v>0</v>
      </c>
      <c r="O7" s="2" t="str">
        <f t="shared" si="0"/>
        <v>Medium</v>
      </c>
      <c r="P7" s="2">
        <f t="shared" si="1"/>
        <v>0</v>
      </c>
      <c r="Q7" s="2">
        <f t="shared" si="2"/>
        <v>0</v>
      </c>
      <c r="R7" s="2">
        <f t="shared" si="2"/>
        <v>0</v>
      </c>
      <c r="S7" s="2">
        <f t="shared" si="2"/>
        <v>0</v>
      </c>
      <c r="T7" s="2" t="str">
        <f t="shared" si="3"/>
        <v>Standard</v>
      </c>
      <c r="U7" s="2" t="str">
        <f t="shared" si="4"/>
        <v>Annual</v>
      </c>
      <c r="V7" s="2" t="str">
        <f t="shared" si="5"/>
        <v>Standard periodic review</v>
      </c>
      <c r="W7" s="2"/>
    </row>
    <row r="8" spans="1:23" x14ac:dyDescent="0.25">
      <c r="A8" s="2" t="s">
        <v>34</v>
      </c>
      <c r="B8" s="2" t="s">
        <v>35</v>
      </c>
      <c r="C8" s="2" t="s">
        <v>17</v>
      </c>
      <c r="D8" s="2" t="s">
        <v>18</v>
      </c>
      <c r="E8" s="2">
        <v>58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 t="str">
        <f t="shared" si="0"/>
        <v>Medium</v>
      </c>
      <c r="P8" s="2">
        <f t="shared" si="1"/>
        <v>0</v>
      </c>
      <c r="Q8" s="2">
        <f t="shared" si="2"/>
        <v>0</v>
      </c>
      <c r="R8" s="2">
        <f t="shared" si="2"/>
        <v>0</v>
      </c>
      <c r="S8" s="2">
        <f t="shared" si="2"/>
        <v>0</v>
      </c>
      <c r="T8" s="2" t="str">
        <f t="shared" si="3"/>
        <v>Standard</v>
      </c>
      <c r="U8" s="2" t="str">
        <f t="shared" si="4"/>
        <v>Annual</v>
      </c>
      <c r="V8" s="2" t="str">
        <f t="shared" si="5"/>
        <v>Standard periodic review</v>
      </c>
      <c r="W8" s="2"/>
    </row>
    <row r="9" spans="1:23" x14ac:dyDescent="0.25">
      <c r="A9" s="2" t="s">
        <v>36</v>
      </c>
      <c r="B9" s="2" t="s">
        <v>37</v>
      </c>
      <c r="C9" s="2" t="s">
        <v>22</v>
      </c>
      <c r="D9" s="2" t="s">
        <v>23</v>
      </c>
      <c r="E9" s="2">
        <v>35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 t="str">
        <f t="shared" si="0"/>
        <v>Low</v>
      </c>
      <c r="P9" s="2">
        <f t="shared" si="1"/>
        <v>0</v>
      </c>
      <c r="Q9" s="2">
        <f t="shared" si="2"/>
        <v>0</v>
      </c>
      <c r="R9" s="2">
        <f t="shared" si="2"/>
        <v>0</v>
      </c>
      <c r="S9" s="2">
        <f t="shared" si="2"/>
        <v>0</v>
      </c>
      <c r="T9" s="2" t="str">
        <f t="shared" si="3"/>
        <v>Standard</v>
      </c>
      <c r="U9" s="2" t="str">
        <f t="shared" si="4"/>
        <v>Annual</v>
      </c>
      <c r="V9" s="2" t="str">
        <f t="shared" si="5"/>
        <v>Standard periodic review</v>
      </c>
      <c r="W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Exercise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Eduardo Hinrichsen Picand</cp:lastModifiedBy>
  <dcterms:created xsi:type="dcterms:W3CDTF">2026-05-08T11:05:31Z</dcterms:created>
  <dcterms:modified xsi:type="dcterms:W3CDTF">2026-05-08T11:07:32Z</dcterms:modified>
</cp:coreProperties>
</file>