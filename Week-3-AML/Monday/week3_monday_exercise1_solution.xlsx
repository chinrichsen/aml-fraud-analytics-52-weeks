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6D0934-1F09-4757-BAEC-0820617495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iginal Dataset" sheetId="1" r:id="rId1"/>
    <sheet name="Exercise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2" l="1"/>
  <c r="W7" i="2"/>
  <c r="V7" i="2"/>
  <c r="U7" i="2"/>
  <c r="T7" i="2"/>
  <c r="S7" i="2"/>
  <c r="R7" i="2"/>
  <c r="Q7" i="2"/>
  <c r="P7" i="2"/>
  <c r="Y7" i="2" s="1"/>
  <c r="Z7" i="2" s="1"/>
  <c r="AA7" i="2" s="1"/>
  <c r="X6" i="2"/>
  <c r="W6" i="2"/>
  <c r="V6" i="2"/>
  <c r="U6" i="2"/>
  <c r="T6" i="2"/>
  <c r="S6" i="2"/>
  <c r="R6" i="2"/>
  <c r="Q6" i="2"/>
  <c r="P6" i="2"/>
  <c r="Y6" i="2" s="1"/>
  <c r="Z6" i="2" s="1"/>
  <c r="AA6" i="2" s="1"/>
  <c r="X5" i="2"/>
  <c r="W5" i="2"/>
  <c r="V5" i="2"/>
  <c r="U5" i="2"/>
  <c r="T5" i="2"/>
  <c r="S5" i="2"/>
  <c r="R5" i="2"/>
  <c r="Q5" i="2"/>
  <c r="P5" i="2"/>
  <c r="Y5" i="2" s="1"/>
  <c r="Z5" i="2" s="1"/>
  <c r="AA5" i="2" s="1"/>
  <c r="X4" i="2"/>
  <c r="W4" i="2"/>
  <c r="V4" i="2"/>
  <c r="U4" i="2"/>
  <c r="T4" i="2"/>
  <c r="S4" i="2"/>
  <c r="R4" i="2"/>
  <c r="Q4" i="2"/>
  <c r="P4" i="2"/>
  <c r="Y4" i="2" s="1"/>
  <c r="Z4" i="2" s="1"/>
  <c r="AA4" i="2" s="1"/>
  <c r="X3" i="2"/>
  <c r="W3" i="2"/>
  <c r="V3" i="2"/>
  <c r="U3" i="2"/>
  <c r="T3" i="2"/>
  <c r="S3" i="2"/>
  <c r="R3" i="2"/>
  <c r="Q3" i="2"/>
  <c r="P3" i="2"/>
  <c r="Y3" i="2" s="1"/>
  <c r="Z3" i="2" s="1"/>
  <c r="AA3" i="2" s="1"/>
  <c r="X2" i="2"/>
  <c r="W2" i="2"/>
  <c r="V2" i="2"/>
  <c r="U2" i="2"/>
  <c r="T2" i="2"/>
  <c r="S2" i="2"/>
  <c r="R2" i="2"/>
  <c r="Q2" i="2"/>
  <c r="P2" i="2"/>
  <c r="Y2" i="2" s="1"/>
  <c r="Z2" i="2" s="1"/>
  <c r="AA2" i="2" s="1"/>
</calcChain>
</file>

<file path=xl/sharedStrings.xml><?xml version="1.0" encoding="utf-8"?>
<sst xmlns="http://schemas.openxmlformats.org/spreadsheetml/2006/main" count="162" uniqueCount="63">
  <si>
    <t>customer_id</t>
  </si>
  <si>
    <t>customer_name</t>
  </si>
  <si>
    <t>customer_type</t>
  </si>
  <si>
    <t>geography</t>
  </si>
  <si>
    <t>product_type</t>
  </si>
  <si>
    <t>channel</t>
  </si>
  <si>
    <t>expected_monthly_txn_count</t>
  </si>
  <si>
    <t>expected_monthly_txn_amount_usd</t>
  </si>
  <si>
    <t>source_of_funds</t>
  </si>
  <si>
    <t>adverse_media_flag</t>
  </si>
  <si>
    <t>pep_flag</t>
  </si>
  <si>
    <t>sanctions_flag</t>
  </si>
  <si>
    <t>ownership_complexity</t>
  </si>
  <si>
    <t>baseline_risk</t>
  </si>
  <si>
    <t>priority_review</t>
  </si>
  <si>
    <t>C301</t>
  </si>
  <si>
    <t>North Peak Retail</t>
  </si>
  <si>
    <t>Retail</t>
  </si>
  <si>
    <t>Domestic</t>
  </si>
  <si>
    <t>Standard checking</t>
  </si>
  <si>
    <t>Digital</t>
  </si>
  <si>
    <t>Salary</t>
  </si>
  <si>
    <t>Low</t>
  </si>
  <si>
    <t>Annual</t>
  </si>
  <si>
    <t>C302</t>
  </si>
  <si>
    <t>Arbor Holdings LLC</t>
  </si>
  <si>
    <t>Business</t>
  </si>
  <si>
    <t>Cross-border</t>
  </si>
  <si>
    <t>Wire / treasury</t>
  </si>
  <si>
    <t>Operating revenue</t>
  </si>
  <si>
    <t>High</t>
  </si>
  <si>
    <t>Quarterly</t>
  </si>
  <si>
    <t>C303</t>
  </si>
  <si>
    <t>Blue Stone Imports</t>
  </si>
  <si>
    <t>Wires / cash deposits</t>
  </si>
  <si>
    <t>Branch + digital</t>
  </si>
  <si>
    <t>Trade receipts</t>
  </si>
  <si>
    <t>Medium</t>
  </si>
  <si>
    <t>C304</t>
  </si>
  <si>
    <t>Canyon Family Trust</t>
  </si>
  <si>
    <t>Private wealth</t>
  </si>
  <si>
    <t>Investments / wires</t>
  </si>
  <si>
    <t>Relationship manager</t>
  </si>
  <si>
    <t>Wealth / investments</t>
  </si>
  <si>
    <t>Semiannual</t>
  </si>
  <si>
    <t>C305</t>
  </si>
  <si>
    <t>Delta Care Services</t>
  </si>
  <si>
    <t>Payroll / ACH</t>
  </si>
  <si>
    <t>Service revenue</t>
  </si>
  <si>
    <t>C306</t>
  </si>
  <si>
    <t>Evergreen Trading Co</t>
  </si>
  <si>
    <t>customer_type_score</t>
  </si>
  <si>
    <t>geo_score</t>
  </si>
  <si>
    <t>product_score</t>
  </si>
  <si>
    <t>channel_score</t>
  </si>
  <si>
    <t>source_score</t>
  </si>
  <si>
    <t>ownership_score</t>
  </si>
  <si>
    <t>adverse_score</t>
  </si>
  <si>
    <t>pep_score</t>
  </si>
  <si>
    <t>sanctions_score</t>
  </si>
  <si>
    <t>crr_score_formula</t>
  </si>
  <si>
    <t>risk_tier</t>
  </si>
  <si>
    <t>monitoring_action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</si>
</sst>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2" customWidth="1"/>
    <col min="3" max="3" width="16" customWidth="1"/>
    <col min="4" max="4" width="14" customWidth="1"/>
    <col min="5" max="5" width="23" customWidth="1"/>
    <col min="6" max="6" width="22" customWidth="1"/>
    <col min="7" max="8" width="28" customWidth="1"/>
    <col min="9" max="9" width="22" customWidth="1"/>
    <col min="10" max="10" width="20" customWidth="1"/>
    <col min="11" max="11" width="10" customWidth="1"/>
    <col min="12" max="12" width="16" customWidth="1"/>
    <col min="13" max="13" width="22" customWidth="1"/>
    <col min="14" max="14" width="15" customWidth="1"/>
    <col min="15" max="15" width="17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22</v>
      </c>
      <c r="H2">
        <v>8500</v>
      </c>
      <c r="I2" t="s">
        <v>21</v>
      </c>
      <c r="J2">
        <v>0</v>
      </c>
      <c r="K2">
        <v>0</v>
      </c>
      <c r="L2">
        <v>0</v>
      </c>
      <c r="M2" t="s">
        <v>22</v>
      </c>
      <c r="N2" t="s">
        <v>22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20</v>
      </c>
      <c r="G3">
        <v>48</v>
      </c>
      <c r="H3">
        <v>124000</v>
      </c>
      <c r="I3" t="s">
        <v>29</v>
      </c>
      <c r="J3">
        <v>1</v>
      </c>
      <c r="K3">
        <v>0</v>
      </c>
      <c r="L3">
        <v>0</v>
      </c>
      <c r="M3" t="s">
        <v>30</v>
      </c>
      <c r="N3" t="s">
        <v>30</v>
      </c>
      <c r="O3" t="s">
        <v>31</v>
      </c>
    </row>
    <row r="4" spans="1:15" x14ac:dyDescent="0.25">
      <c r="A4" t="s">
        <v>32</v>
      </c>
      <c r="B4" t="s">
        <v>33</v>
      </c>
      <c r="C4" t="s">
        <v>26</v>
      </c>
      <c r="D4" t="s">
        <v>27</v>
      </c>
      <c r="E4" t="s">
        <v>34</v>
      </c>
      <c r="F4" t="s">
        <v>35</v>
      </c>
      <c r="G4">
        <v>60</v>
      </c>
      <c r="H4">
        <v>210000</v>
      </c>
      <c r="I4" t="s">
        <v>36</v>
      </c>
      <c r="J4">
        <v>0</v>
      </c>
      <c r="K4">
        <v>1</v>
      </c>
      <c r="L4">
        <v>0</v>
      </c>
      <c r="M4" t="s">
        <v>37</v>
      </c>
      <c r="N4" t="s">
        <v>30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18</v>
      </c>
      <c r="E5" t="s">
        <v>41</v>
      </c>
      <c r="F5" t="s">
        <v>42</v>
      </c>
      <c r="G5">
        <v>16</v>
      </c>
      <c r="H5">
        <v>98000</v>
      </c>
      <c r="I5" t="s">
        <v>43</v>
      </c>
      <c r="J5">
        <v>0</v>
      </c>
      <c r="K5">
        <v>0</v>
      </c>
      <c r="L5">
        <v>0</v>
      </c>
      <c r="M5" t="s">
        <v>37</v>
      </c>
      <c r="N5" t="s">
        <v>37</v>
      </c>
      <c r="O5" t="s">
        <v>44</v>
      </c>
    </row>
    <row r="6" spans="1:15" x14ac:dyDescent="0.25">
      <c r="A6" t="s">
        <v>45</v>
      </c>
      <c r="B6" t="s">
        <v>46</v>
      </c>
      <c r="C6" t="s">
        <v>26</v>
      </c>
      <c r="D6" t="s">
        <v>18</v>
      </c>
      <c r="E6" t="s">
        <v>47</v>
      </c>
      <c r="F6" t="s">
        <v>35</v>
      </c>
      <c r="G6">
        <v>34</v>
      </c>
      <c r="H6">
        <v>41000</v>
      </c>
      <c r="I6" t="s">
        <v>48</v>
      </c>
      <c r="J6">
        <v>0</v>
      </c>
      <c r="K6">
        <v>0</v>
      </c>
      <c r="L6">
        <v>0</v>
      </c>
      <c r="M6" t="s">
        <v>22</v>
      </c>
      <c r="N6" t="s">
        <v>37</v>
      </c>
      <c r="O6" t="s">
        <v>44</v>
      </c>
    </row>
    <row r="7" spans="1:15" x14ac:dyDescent="0.25">
      <c r="A7" t="s">
        <v>49</v>
      </c>
      <c r="B7" t="s">
        <v>50</v>
      </c>
      <c r="C7" t="s">
        <v>26</v>
      </c>
      <c r="D7" t="s">
        <v>27</v>
      </c>
      <c r="E7" t="s">
        <v>34</v>
      </c>
      <c r="F7" t="s">
        <v>20</v>
      </c>
      <c r="G7">
        <v>72</v>
      </c>
      <c r="H7">
        <v>260000</v>
      </c>
      <c r="I7" t="s">
        <v>36</v>
      </c>
      <c r="J7">
        <v>1</v>
      </c>
      <c r="K7">
        <v>0</v>
      </c>
      <c r="L7">
        <v>0</v>
      </c>
      <c r="M7" t="s">
        <v>30</v>
      </c>
      <c r="N7" t="s">
        <v>30</v>
      </c>
      <c r="O7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"/>
  <sheetViews>
    <sheetView tabSelected="1" topLeftCell="S1" workbookViewId="0">
      <pane ySplit="1" topLeftCell="A2" activePane="bottomLeft" state="frozen"/>
      <selection pane="bottomLeft" sqref="A1:AA7"/>
    </sheetView>
  </sheetViews>
  <sheetFormatPr defaultRowHeight="15" x14ac:dyDescent="0.25"/>
  <cols>
    <col min="1" max="1" width="13" customWidth="1"/>
    <col min="2" max="2" width="22" customWidth="1"/>
    <col min="3" max="3" width="16" customWidth="1"/>
    <col min="4" max="4" width="14" customWidth="1"/>
    <col min="5" max="5" width="23" customWidth="1"/>
    <col min="6" max="6" width="22" customWidth="1"/>
    <col min="7" max="8" width="28" customWidth="1"/>
    <col min="9" max="9" width="22" customWidth="1"/>
    <col min="10" max="10" width="20" customWidth="1"/>
    <col min="11" max="11" width="10" customWidth="1"/>
    <col min="12" max="12" width="16" customWidth="1"/>
    <col min="13" max="13" width="22" customWidth="1"/>
    <col min="14" max="14" width="15" customWidth="1"/>
    <col min="15" max="15" width="17" customWidth="1"/>
    <col min="16" max="27" width="28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62</v>
      </c>
    </row>
    <row r="2" spans="1:27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22</v>
      </c>
      <c r="H2" s="3">
        <v>8500</v>
      </c>
      <c r="I2" s="3" t="s">
        <v>21</v>
      </c>
      <c r="J2" s="3">
        <v>0</v>
      </c>
      <c r="K2" s="3">
        <v>0</v>
      </c>
      <c r="L2" s="3">
        <v>0</v>
      </c>
      <c r="M2" s="3" t="s">
        <v>22</v>
      </c>
      <c r="N2" s="3" t="s">
        <v>22</v>
      </c>
      <c r="O2" s="3" t="s">
        <v>23</v>
      </c>
      <c r="P2" s="3">
        <f t="shared" ref="P2:P7" si="0">IF(A2="","",IF(C2="Retail",1,IF(C2="Business",2,3)))</f>
        <v>1</v>
      </c>
      <c r="Q2" s="3">
        <f t="shared" ref="Q2:Q7" si="1">IF(A2="","",IF(D2="Domestic",1,3))</f>
        <v>1</v>
      </c>
      <c r="R2" s="3">
        <f t="shared" ref="R2:R7" si="2">IF(A2="","",IF(OR(ISNUMBER(SEARCH("Standard",E2)),ISNUMBER(SEARCH("Payroll",E2))),1,IF(ISNUMBER(SEARCH("Investments",E2)),2,3)))</f>
        <v>1</v>
      </c>
      <c r="S2" s="3">
        <f t="shared" ref="S2:S7" si="3">IF(A2="","",IF(AND(F2="Digital",C2="Retail"),1,IF(ISNUMBER(SEARCH("Branch",F2)),2,3)))</f>
        <v>1</v>
      </c>
      <c r="T2" s="3">
        <f t="shared" ref="T2:T7" si="4">IF(A2="","",IF(OR(I2="Salary",I2="Service revenue",I2="Operating revenue"),1,IF(I2="Wealth / investments",2,3)))</f>
        <v>1</v>
      </c>
      <c r="U2" s="3">
        <f t="shared" ref="U2:U7" si="5">IF(A2="","",IF(M2="Low",1,IF(M2="Medium",2,3)))</f>
        <v>1</v>
      </c>
      <c r="V2" s="3">
        <f t="shared" ref="V2:V7" si="6">IF(A2="","",IF(J2=1,3,0))</f>
        <v>0</v>
      </c>
      <c r="W2" s="3">
        <f t="shared" ref="W2:W7" si="7">IF(A2="","",IF(K2=1,3,0))</f>
        <v>0</v>
      </c>
      <c r="X2" s="3">
        <f t="shared" ref="X2:X7" si="8">IF(A2="","",IF(L2=1,5,0))</f>
        <v>0</v>
      </c>
      <c r="Y2" s="3">
        <f t="shared" ref="Y2:Y7" si="9">IF(A2="","",ROUND(0.2*P2+0.15*Q2+0.15*R2+0.1*S2+0.1*T2+0.1*U2+0.1*V2+0.05*W2+0.05*X2,2))</f>
        <v>0.8</v>
      </c>
      <c r="Z2" s="3" t="str">
        <f t="shared" ref="Z2:Z7" si="10">IF(Y2="","",IF(Y2&lt;1.75,"Low",IF(Y2&lt;2.5,"Medium","High")))</f>
        <v>Low</v>
      </c>
      <c r="AA2" s="3" t="str">
        <f t="shared" ref="AA2:AA7" si="11">IF(Z2="Low","Light review",IF(Z2="Medium","Standard review","EDD / enhanced review"))</f>
        <v>Light review</v>
      </c>
    </row>
    <row r="3" spans="1:27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20</v>
      </c>
      <c r="G3" s="3">
        <v>48</v>
      </c>
      <c r="H3" s="3">
        <v>124000</v>
      </c>
      <c r="I3" s="3" t="s">
        <v>29</v>
      </c>
      <c r="J3" s="3">
        <v>1</v>
      </c>
      <c r="K3" s="3">
        <v>0</v>
      </c>
      <c r="L3" s="3">
        <v>0</v>
      </c>
      <c r="M3" s="3" t="s">
        <v>30</v>
      </c>
      <c r="N3" s="3" t="s">
        <v>30</v>
      </c>
      <c r="O3" s="3" t="s">
        <v>31</v>
      </c>
      <c r="P3" s="3">
        <f t="shared" si="0"/>
        <v>2</v>
      </c>
      <c r="Q3" s="3">
        <f t="shared" si="1"/>
        <v>3</v>
      </c>
      <c r="R3" s="3">
        <f t="shared" si="2"/>
        <v>3</v>
      </c>
      <c r="S3" s="3">
        <f t="shared" si="3"/>
        <v>3</v>
      </c>
      <c r="T3" s="3">
        <f t="shared" si="4"/>
        <v>1</v>
      </c>
      <c r="U3" s="3">
        <f t="shared" si="5"/>
        <v>3</v>
      </c>
      <c r="V3" s="3">
        <f t="shared" si="6"/>
        <v>3</v>
      </c>
      <c r="W3" s="3">
        <f t="shared" si="7"/>
        <v>0</v>
      </c>
      <c r="X3" s="3">
        <f t="shared" si="8"/>
        <v>0</v>
      </c>
      <c r="Y3" s="3">
        <f t="shared" si="9"/>
        <v>2.2999999999999998</v>
      </c>
      <c r="Z3" s="3" t="str">
        <f t="shared" si="10"/>
        <v>Medium</v>
      </c>
      <c r="AA3" s="3" t="str">
        <f t="shared" si="11"/>
        <v>Standard review</v>
      </c>
    </row>
    <row r="4" spans="1:27" x14ac:dyDescent="0.25">
      <c r="A4" s="3" t="s">
        <v>32</v>
      </c>
      <c r="B4" s="3" t="s">
        <v>33</v>
      </c>
      <c r="C4" s="3" t="s">
        <v>26</v>
      </c>
      <c r="D4" s="3" t="s">
        <v>27</v>
      </c>
      <c r="E4" s="3" t="s">
        <v>34</v>
      </c>
      <c r="F4" s="3" t="s">
        <v>35</v>
      </c>
      <c r="G4" s="3">
        <v>60</v>
      </c>
      <c r="H4" s="3">
        <v>210000</v>
      </c>
      <c r="I4" s="3" t="s">
        <v>36</v>
      </c>
      <c r="J4" s="3">
        <v>0</v>
      </c>
      <c r="K4" s="3">
        <v>1</v>
      </c>
      <c r="L4" s="3">
        <v>0</v>
      </c>
      <c r="M4" s="3" t="s">
        <v>37</v>
      </c>
      <c r="N4" s="3" t="s">
        <v>30</v>
      </c>
      <c r="O4" s="3" t="s">
        <v>31</v>
      </c>
      <c r="P4" s="3">
        <f t="shared" si="0"/>
        <v>2</v>
      </c>
      <c r="Q4" s="3">
        <f t="shared" si="1"/>
        <v>3</v>
      </c>
      <c r="R4" s="3">
        <f t="shared" si="2"/>
        <v>3</v>
      </c>
      <c r="S4" s="3">
        <f t="shared" si="3"/>
        <v>2</v>
      </c>
      <c r="T4" s="3">
        <f t="shared" si="4"/>
        <v>3</v>
      </c>
      <c r="U4" s="3">
        <f t="shared" si="5"/>
        <v>2</v>
      </c>
      <c r="V4" s="3">
        <f t="shared" si="6"/>
        <v>0</v>
      </c>
      <c r="W4" s="3">
        <f t="shared" si="7"/>
        <v>3</v>
      </c>
      <c r="X4" s="3">
        <f t="shared" si="8"/>
        <v>0</v>
      </c>
      <c r="Y4" s="3">
        <f t="shared" si="9"/>
        <v>2.15</v>
      </c>
      <c r="Z4" s="3" t="str">
        <f t="shared" si="10"/>
        <v>Medium</v>
      </c>
      <c r="AA4" s="3" t="str">
        <f t="shared" si="11"/>
        <v>Standard review</v>
      </c>
    </row>
    <row r="5" spans="1:27" x14ac:dyDescent="0.25">
      <c r="A5" s="3" t="s">
        <v>38</v>
      </c>
      <c r="B5" s="3" t="s">
        <v>39</v>
      </c>
      <c r="C5" s="3" t="s">
        <v>40</v>
      </c>
      <c r="D5" s="3" t="s">
        <v>18</v>
      </c>
      <c r="E5" s="3" t="s">
        <v>41</v>
      </c>
      <c r="F5" s="3" t="s">
        <v>42</v>
      </c>
      <c r="G5" s="3">
        <v>16</v>
      </c>
      <c r="H5" s="3">
        <v>98000</v>
      </c>
      <c r="I5" s="3" t="s">
        <v>43</v>
      </c>
      <c r="J5" s="3">
        <v>0</v>
      </c>
      <c r="K5" s="3">
        <v>0</v>
      </c>
      <c r="L5" s="3">
        <v>0</v>
      </c>
      <c r="M5" s="3" t="s">
        <v>37</v>
      </c>
      <c r="N5" s="3" t="s">
        <v>37</v>
      </c>
      <c r="O5" s="3" t="s">
        <v>44</v>
      </c>
      <c r="P5" s="3">
        <f t="shared" si="0"/>
        <v>3</v>
      </c>
      <c r="Q5" s="3">
        <f t="shared" si="1"/>
        <v>1</v>
      </c>
      <c r="R5" s="3">
        <f t="shared" si="2"/>
        <v>2</v>
      </c>
      <c r="S5" s="3">
        <f t="shared" si="3"/>
        <v>3</v>
      </c>
      <c r="T5" s="3">
        <f t="shared" si="4"/>
        <v>2</v>
      </c>
      <c r="U5" s="3">
        <f t="shared" si="5"/>
        <v>2</v>
      </c>
      <c r="V5" s="3">
        <f t="shared" si="6"/>
        <v>0</v>
      </c>
      <c r="W5" s="3">
        <f t="shared" si="7"/>
        <v>0</v>
      </c>
      <c r="X5" s="3">
        <f t="shared" si="8"/>
        <v>0</v>
      </c>
      <c r="Y5" s="3">
        <f t="shared" si="9"/>
        <v>1.75</v>
      </c>
      <c r="Z5" s="3" t="str">
        <f t="shared" si="10"/>
        <v>Medium</v>
      </c>
      <c r="AA5" s="3" t="str">
        <f t="shared" si="11"/>
        <v>Standard review</v>
      </c>
    </row>
    <row r="6" spans="1:27" x14ac:dyDescent="0.25">
      <c r="A6" s="3" t="s">
        <v>45</v>
      </c>
      <c r="B6" s="3" t="s">
        <v>46</v>
      </c>
      <c r="C6" s="3" t="s">
        <v>26</v>
      </c>
      <c r="D6" s="3" t="s">
        <v>18</v>
      </c>
      <c r="E6" s="3" t="s">
        <v>47</v>
      </c>
      <c r="F6" s="3" t="s">
        <v>35</v>
      </c>
      <c r="G6" s="3">
        <v>34</v>
      </c>
      <c r="H6" s="3">
        <v>41000</v>
      </c>
      <c r="I6" s="3" t="s">
        <v>48</v>
      </c>
      <c r="J6" s="3">
        <v>0</v>
      </c>
      <c r="K6" s="3">
        <v>0</v>
      </c>
      <c r="L6" s="3">
        <v>0</v>
      </c>
      <c r="M6" s="3" t="s">
        <v>22</v>
      </c>
      <c r="N6" s="3" t="s">
        <v>37</v>
      </c>
      <c r="O6" s="3" t="s">
        <v>44</v>
      </c>
      <c r="P6" s="3">
        <f t="shared" si="0"/>
        <v>2</v>
      </c>
      <c r="Q6" s="3">
        <f t="shared" si="1"/>
        <v>1</v>
      </c>
      <c r="R6" s="3">
        <f t="shared" si="2"/>
        <v>1</v>
      </c>
      <c r="S6" s="3">
        <f t="shared" si="3"/>
        <v>2</v>
      </c>
      <c r="T6" s="3">
        <f t="shared" si="4"/>
        <v>1</v>
      </c>
      <c r="U6" s="3">
        <f t="shared" si="5"/>
        <v>1</v>
      </c>
      <c r="V6" s="3">
        <f t="shared" si="6"/>
        <v>0</v>
      </c>
      <c r="W6" s="3">
        <f t="shared" si="7"/>
        <v>0</v>
      </c>
      <c r="X6" s="3">
        <f t="shared" si="8"/>
        <v>0</v>
      </c>
      <c r="Y6" s="3">
        <f t="shared" si="9"/>
        <v>1.1000000000000001</v>
      </c>
      <c r="Z6" s="3" t="str">
        <f t="shared" si="10"/>
        <v>Low</v>
      </c>
      <c r="AA6" s="3" t="str">
        <f t="shared" si="11"/>
        <v>Light review</v>
      </c>
    </row>
    <row r="7" spans="1:27" x14ac:dyDescent="0.25">
      <c r="A7" s="3" t="s">
        <v>49</v>
      </c>
      <c r="B7" s="3" t="s">
        <v>50</v>
      </c>
      <c r="C7" s="3" t="s">
        <v>26</v>
      </c>
      <c r="D7" s="3" t="s">
        <v>27</v>
      </c>
      <c r="E7" s="3" t="s">
        <v>34</v>
      </c>
      <c r="F7" s="3" t="s">
        <v>20</v>
      </c>
      <c r="G7" s="3">
        <v>72</v>
      </c>
      <c r="H7" s="3">
        <v>260000</v>
      </c>
      <c r="I7" s="3" t="s">
        <v>36</v>
      </c>
      <c r="J7" s="3">
        <v>1</v>
      </c>
      <c r="K7" s="3">
        <v>0</v>
      </c>
      <c r="L7" s="3">
        <v>0</v>
      </c>
      <c r="M7" s="3" t="s">
        <v>30</v>
      </c>
      <c r="N7" s="3" t="s">
        <v>30</v>
      </c>
      <c r="O7" s="3" t="s">
        <v>31</v>
      </c>
      <c r="P7" s="3">
        <f t="shared" si="0"/>
        <v>2</v>
      </c>
      <c r="Q7" s="3">
        <f t="shared" si="1"/>
        <v>3</v>
      </c>
      <c r="R7" s="3">
        <f t="shared" si="2"/>
        <v>3</v>
      </c>
      <c r="S7" s="3">
        <f t="shared" si="3"/>
        <v>3</v>
      </c>
      <c r="T7" s="3">
        <f t="shared" si="4"/>
        <v>3</v>
      </c>
      <c r="U7" s="3">
        <f t="shared" si="5"/>
        <v>3</v>
      </c>
      <c r="V7" s="3">
        <f t="shared" si="6"/>
        <v>3</v>
      </c>
      <c r="W7" s="3">
        <f t="shared" si="7"/>
        <v>0</v>
      </c>
      <c r="X7" s="3">
        <f t="shared" si="8"/>
        <v>0</v>
      </c>
      <c r="Y7" s="3">
        <f t="shared" si="9"/>
        <v>2.5</v>
      </c>
      <c r="Z7" s="3" t="str">
        <f t="shared" si="10"/>
        <v>High</v>
      </c>
      <c r="AA7" s="3" t="str">
        <f t="shared" si="11"/>
        <v>EDD / enhanced review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Exercise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Hinrichsen Picand</cp:lastModifiedBy>
  <dcterms:created xsi:type="dcterms:W3CDTF">2026-05-04T00:31:13Z</dcterms:created>
  <dcterms:modified xsi:type="dcterms:W3CDTF">2026-05-04T00:32:17Z</dcterms:modified>
</cp:coreProperties>
</file>