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14F246-5135-4500-9965-B03F0B83C20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riginal Dataset" sheetId="1" r:id="rId1"/>
    <sheet name="Weights" sheetId="2" r:id="rId2"/>
    <sheet name="Exercise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3" l="1"/>
  <c r="S7" i="3" s="1"/>
  <c r="P7" i="3"/>
  <c r="Q7" i="3" s="1"/>
  <c r="T7" i="3" s="1"/>
  <c r="S6" i="3"/>
  <c r="R6" i="3"/>
  <c r="P6" i="3"/>
  <c r="Q6" i="3" s="1"/>
  <c r="T6" i="3" s="1"/>
  <c r="R5" i="3"/>
  <c r="S5" i="3" s="1"/>
  <c r="P5" i="3"/>
  <c r="Q5" i="3" s="1"/>
  <c r="T5" i="3" s="1"/>
  <c r="R4" i="3"/>
  <c r="S4" i="3" s="1"/>
  <c r="P4" i="3"/>
  <c r="Q4" i="3" s="1"/>
  <c r="T4" i="3" s="1"/>
  <c r="R3" i="3"/>
  <c r="S3" i="3" s="1"/>
  <c r="P3" i="3"/>
  <c r="Q3" i="3" s="1"/>
  <c r="T3" i="3" s="1"/>
  <c r="R2" i="3"/>
  <c r="S2" i="3" s="1"/>
  <c r="P2" i="3"/>
  <c r="Q2" i="3" s="1"/>
  <c r="T2" i="3" s="1"/>
</calcChain>
</file>

<file path=xl/sharedStrings.xml><?xml version="1.0" encoding="utf-8"?>
<sst xmlns="http://schemas.openxmlformats.org/spreadsheetml/2006/main" count="167" uniqueCount="62">
  <si>
    <t>customer_id</t>
  </si>
  <si>
    <t>customer_name</t>
  </si>
  <si>
    <t>customer_type</t>
  </si>
  <si>
    <t>geography</t>
  </si>
  <si>
    <t>product_type</t>
  </si>
  <si>
    <t>channel</t>
  </si>
  <si>
    <t>expected_monthly_txn_count</t>
  </si>
  <si>
    <t>expected_monthly_txn_amount_usd</t>
  </si>
  <si>
    <t>source_of_funds</t>
  </si>
  <si>
    <t>adverse_media_flag</t>
  </si>
  <si>
    <t>pep_flag</t>
  </si>
  <si>
    <t>sanctions_flag</t>
  </si>
  <si>
    <t>ownership_complexity</t>
  </si>
  <si>
    <t>baseline_risk</t>
  </si>
  <si>
    <t>priority_review</t>
  </si>
  <si>
    <t>C301</t>
  </si>
  <si>
    <t>North Peak Retail</t>
  </si>
  <si>
    <t>Retail</t>
  </si>
  <si>
    <t>Domestic</t>
  </si>
  <si>
    <t>Standard checking</t>
  </si>
  <si>
    <t>Digital</t>
  </si>
  <si>
    <t>Salary</t>
  </si>
  <si>
    <t>Low</t>
  </si>
  <si>
    <t>Annual</t>
  </si>
  <si>
    <t>C302</t>
  </si>
  <si>
    <t>Arbor Holdings LLC</t>
  </si>
  <si>
    <t>Business</t>
  </si>
  <si>
    <t>Cross-border</t>
  </si>
  <si>
    <t>Wire / treasury</t>
  </si>
  <si>
    <t>Operating revenue</t>
  </si>
  <si>
    <t>High</t>
  </si>
  <si>
    <t>Quarterly</t>
  </si>
  <si>
    <t>C303</t>
  </si>
  <si>
    <t>Blue Stone Imports</t>
  </si>
  <si>
    <t>Wires / cash deposits</t>
  </si>
  <si>
    <t>Branch + digital</t>
  </si>
  <si>
    <t>Trade receipts</t>
  </si>
  <si>
    <t>Medium</t>
  </si>
  <si>
    <t>C304</t>
  </si>
  <si>
    <t>Canyon Family Trust</t>
  </si>
  <si>
    <t>Private wealth</t>
  </si>
  <si>
    <t>Investments / wires</t>
  </si>
  <si>
    <t>Relationship manager</t>
  </si>
  <si>
    <t>Wealth / investments</t>
  </si>
  <si>
    <t>Semiannual</t>
  </si>
  <si>
    <t>C305</t>
  </si>
  <si>
    <t>Delta Care Services</t>
  </si>
  <si>
    <t>Payroll / ACH</t>
  </si>
  <si>
    <t>Service revenue</t>
  </si>
  <si>
    <t>C306</t>
  </si>
  <si>
    <t>Evergreen Trading Co</t>
  </si>
  <si>
    <t>factor</t>
  </si>
  <si>
    <t>weight_set_a</t>
  </si>
  <si>
    <t>weight_set_b</t>
  </si>
  <si>
    <t>adverse_media</t>
  </si>
  <si>
    <t>pep</t>
  </si>
  <si>
    <t>sanctions</t>
  </si>
  <si>
    <t>score_weights_a</t>
  </si>
  <si>
    <t>tier_weights_a</t>
  </si>
  <si>
    <t>score_weights_b</t>
  </si>
  <si>
    <t>tier_weights_b</t>
  </si>
  <si>
    <t>tier_changed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</si>
</sst>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2" customWidth="1"/>
    <col min="3" max="3" width="16" customWidth="1"/>
    <col min="4" max="4" width="14" customWidth="1"/>
    <col min="5" max="5" width="23" customWidth="1"/>
    <col min="6" max="6" width="22" customWidth="1"/>
    <col min="7" max="8" width="28" customWidth="1"/>
    <col min="9" max="9" width="22" customWidth="1"/>
    <col min="10" max="10" width="20" customWidth="1"/>
    <col min="11" max="11" width="10" customWidth="1"/>
    <col min="12" max="12" width="16" customWidth="1"/>
    <col min="13" max="13" width="22" customWidth="1"/>
    <col min="14" max="14" width="15" customWidth="1"/>
    <col min="15" max="15" width="17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22</v>
      </c>
      <c r="H2">
        <v>8500</v>
      </c>
      <c r="I2" t="s">
        <v>21</v>
      </c>
      <c r="J2">
        <v>0</v>
      </c>
      <c r="K2">
        <v>0</v>
      </c>
      <c r="L2">
        <v>0</v>
      </c>
      <c r="M2" t="s">
        <v>22</v>
      </c>
      <c r="N2" t="s">
        <v>22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20</v>
      </c>
      <c r="G3">
        <v>48</v>
      </c>
      <c r="H3">
        <v>124000</v>
      </c>
      <c r="I3" t="s">
        <v>29</v>
      </c>
      <c r="J3">
        <v>1</v>
      </c>
      <c r="K3">
        <v>0</v>
      </c>
      <c r="L3">
        <v>0</v>
      </c>
      <c r="M3" t="s">
        <v>30</v>
      </c>
      <c r="N3" t="s">
        <v>30</v>
      </c>
      <c r="O3" t="s">
        <v>31</v>
      </c>
    </row>
    <row r="4" spans="1:15" x14ac:dyDescent="0.25">
      <c r="A4" t="s">
        <v>32</v>
      </c>
      <c r="B4" t="s">
        <v>33</v>
      </c>
      <c r="C4" t="s">
        <v>26</v>
      </c>
      <c r="D4" t="s">
        <v>27</v>
      </c>
      <c r="E4" t="s">
        <v>34</v>
      </c>
      <c r="F4" t="s">
        <v>35</v>
      </c>
      <c r="G4">
        <v>60</v>
      </c>
      <c r="H4">
        <v>210000</v>
      </c>
      <c r="I4" t="s">
        <v>36</v>
      </c>
      <c r="J4">
        <v>0</v>
      </c>
      <c r="K4">
        <v>1</v>
      </c>
      <c r="L4">
        <v>0</v>
      </c>
      <c r="M4" t="s">
        <v>37</v>
      </c>
      <c r="N4" t="s">
        <v>30</v>
      </c>
      <c r="O4" t="s">
        <v>31</v>
      </c>
    </row>
    <row r="5" spans="1:15" x14ac:dyDescent="0.25">
      <c r="A5" t="s">
        <v>38</v>
      </c>
      <c r="B5" t="s">
        <v>39</v>
      </c>
      <c r="C5" t="s">
        <v>40</v>
      </c>
      <c r="D5" t="s">
        <v>18</v>
      </c>
      <c r="E5" t="s">
        <v>41</v>
      </c>
      <c r="F5" t="s">
        <v>42</v>
      </c>
      <c r="G5">
        <v>16</v>
      </c>
      <c r="H5">
        <v>98000</v>
      </c>
      <c r="I5" t="s">
        <v>43</v>
      </c>
      <c r="J5">
        <v>0</v>
      </c>
      <c r="K5">
        <v>0</v>
      </c>
      <c r="L5">
        <v>0</v>
      </c>
      <c r="M5" t="s">
        <v>37</v>
      </c>
      <c r="N5" t="s">
        <v>37</v>
      </c>
      <c r="O5" t="s">
        <v>44</v>
      </c>
    </row>
    <row r="6" spans="1:15" x14ac:dyDescent="0.25">
      <c r="A6" t="s">
        <v>45</v>
      </c>
      <c r="B6" t="s">
        <v>46</v>
      </c>
      <c r="C6" t="s">
        <v>26</v>
      </c>
      <c r="D6" t="s">
        <v>18</v>
      </c>
      <c r="E6" t="s">
        <v>47</v>
      </c>
      <c r="F6" t="s">
        <v>35</v>
      </c>
      <c r="G6">
        <v>34</v>
      </c>
      <c r="H6">
        <v>41000</v>
      </c>
      <c r="I6" t="s">
        <v>48</v>
      </c>
      <c r="J6">
        <v>0</v>
      </c>
      <c r="K6">
        <v>0</v>
      </c>
      <c r="L6">
        <v>0</v>
      </c>
      <c r="M6" t="s">
        <v>22</v>
      </c>
      <c r="N6" t="s">
        <v>37</v>
      </c>
      <c r="O6" t="s">
        <v>44</v>
      </c>
    </row>
    <row r="7" spans="1:15" x14ac:dyDescent="0.25">
      <c r="A7" t="s">
        <v>49</v>
      </c>
      <c r="B7" t="s">
        <v>50</v>
      </c>
      <c r="C7" t="s">
        <v>26</v>
      </c>
      <c r="D7" t="s">
        <v>27</v>
      </c>
      <c r="E7" t="s">
        <v>34</v>
      </c>
      <c r="F7" t="s">
        <v>20</v>
      </c>
      <c r="G7">
        <v>72</v>
      </c>
      <c r="H7">
        <v>260000</v>
      </c>
      <c r="I7" t="s">
        <v>36</v>
      </c>
      <c r="J7">
        <v>1</v>
      </c>
      <c r="K7">
        <v>0</v>
      </c>
      <c r="L7">
        <v>0</v>
      </c>
      <c r="M7" t="s">
        <v>30</v>
      </c>
      <c r="N7" t="s">
        <v>30</v>
      </c>
      <c r="O7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22" customWidth="1"/>
    <col min="2" max="3" width="14" customWidth="1"/>
  </cols>
  <sheetData>
    <row r="1" spans="1:3" x14ac:dyDescent="0.25">
      <c r="A1" s="1" t="s">
        <v>51</v>
      </c>
      <c r="B1" s="1" t="s">
        <v>52</v>
      </c>
      <c r="C1" s="1" t="s">
        <v>53</v>
      </c>
    </row>
    <row r="2" spans="1:3" x14ac:dyDescent="0.25">
      <c r="A2" t="s">
        <v>2</v>
      </c>
      <c r="B2">
        <v>0.2</v>
      </c>
      <c r="C2">
        <v>0.1</v>
      </c>
    </row>
    <row r="3" spans="1:3" x14ac:dyDescent="0.25">
      <c r="A3" t="s">
        <v>3</v>
      </c>
      <c r="B3">
        <v>0.15</v>
      </c>
      <c r="C3">
        <v>0.25</v>
      </c>
    </row>
    <row r="4" spans="1:3" x14ac:dyDescent="0.25">
      <c r="A4" t="s">
        <v>4</v>
      </c>
      <c r="B4">
        <v>0.15</v>
      </c>
      <c r="C4">
        <v>0.1</v>
      </c>
    </row>
    <row r="5" spans="1:3" x14ac:dyDescent="0.25">
      <c r="A5" t="s">
        <v>5</v>
      </c>
      <c r="B5">
        <v>0.1</v>
      </c>
      <c r="C5">
        <v>0.05</v>
      </c>
    </row>
    <row r="6" spans="1:3" x14ac:dyDescent="0.25">
      <c r="A6" t="s">
        <v>8</v>
      </c>
      <c r="B6">
        <v>0.1</v>
      </c>
      <c r="C6">
        <v>0.1</v>
      </c>
    </row>
    <row r="7" spans="1:3" x14ac:dyDescent="0.25">
      <c r="A7" t="s">
        <v>12</v>
      </c>
      <c r="B7">
        <v>0.1</v>
      </c>
      <c r="C7">
        <v>0.1</v>
      </c>
    </row>
    <row r="8" spans="1:3" x14ac:dyDescent="0.25">
      <c r="A8" t="s">
        <v>54</v>
      </c>
      <c r="B8">
        <v>0.1</v>
      </c>
      <c r="C8">
        <v>0.15</v>
      </c>
    </row>
    <row r="9" spans="1:3" x14ac:dyDescent="0.25">
      <c r="A9" t="s">
        <v>55</v>
      </c>
      <c r="B9">
        <v>0.05</v>
      </c>
      <c r="C9">
        <v>0.1</v>
      </c>
    </row>
    <row r="10" spans="1:3" x14ac:dyDescent="0.25">
      <c r="A10" t="s">
        <v>56</v>
      </c>
      <c r="B10">
        <v>0.05</v>
      </c>
      <c r="C10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"/>
  <sheetViews>
    <sheetView tabSelected="1" topLeftCell="I1" workbookViewId="0">
      <pane ySplit="1" topLeftCell="A2" activePane="bottomLeft" state="frozen"/>
      <selection pane="bottomLeft" activeCell="L13" sqref="L13"/>
    </sheetView>
  </sheetViews>
  <sheetFormatPr defaultRowHeight="15" x14ac:dyDescent="0.25"/>
  <cols>
    <col min="1" max="1" width="13" customWidth="1"/>
    <col min="2" max="2" width="22" customWidth="1"/>
    <col min="3" max="3" width="16" customWidth="1"/>
    <col min="4" max="4" width="14" customWidth="1"/>
    <col min="5" max="5" width="23" customWidth="1"/>
    <col min="6" max="6" width="22" customWidth="1"/>
    <col min="7" max="8" width="28" customWidth="1"/>
    <col min="9" max="9" width="22" customWidth="1"/>
    <col min="10" max="10" width="20" customWidth="1"/>
    <col min="11" max="11" width="10" customWidth="1"/>
    <col min="12" max="12" width="16" customWidth="1"/>
    <col min="13" max="13" width="22" customWidth="1"/>
    <col min="14" max="14" width="15" customWidth="1"/>
    <col min="15" max="15" width="17" customWidth="1"/>
    <col min="16" max="19" width="28" customWidth="1"/>
    <col min="20" max="20" width="19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22</v>
      </c>
      <c r="H2" s="2">
        <v>8500</v>
      </c>
      <c r="I2" s="2" t="s">
        <v>21</v>
      </c>
      <c r="J2" s="2">
        <v>0</v>
      </c>
      <c r="K2" s="2">
        <v>0</v>
      </c>
      <c r="L2" s="2">
        <v>0</v>
      </c>
      <c r="M2" s="2" t="s">
        <v>22</v>
      </c>
      <c r="N2" s="2" t="s">
        <v>22</v>
      </c>
      <c r="O2" s="2" t="s">
        <v>23</v>
      </c>
      <c r="P2" s="2">
        <f>ROUND(0.2*IF('Original Dataset'!C2="Retail",1,IF('Original Dataset'!C2="Business",2,3))+0.15*IF('Original Dataset'!D2="Domestic",1,3)+0.15*IF(OR(ISNUMBER(SEARCH("Standard",'Original Dataset'!E2)),ISNUMBER(SEARCH("Payroll",'Original Dataset'!E2))),1,IF(ISNUMBER(SEARCH("Investments",'Original Dataset'!E2)),2,3))+0.1*IF(AND('Original Dataset'!F2="Digital",'Original Dataset'!C2="Retail"),1,IF(ISNUMBER(SEARCH("Branch",'Original Dataset'!F2)),2,3))+0.1*IF(OR('Original Dataset'!I2="Salary",'Original Dataset'!I2="Service revenue",'Original Dataset'!I2="Operating revenue"),1,IF('Original Dataset'!I2="Wealth / investments",2,3))+0.1*IF('Original Dataset'!M2="Low",1,IF('Original Dataset'!M2="Medium",2,3))+0.1*IF('Original Dataset'!J2=1,3,0)+0.05*IF('Original Dataset'!K2=1,3,0)+0.05*IF('Original Dataset'!L2=1,5,0),2)</f>
        <v>0.8</v>
      </c>
      <c r="Q2" s="2" t="str">
        <f t="shared" ref="Q2:Q7" si="0">IF(P2&lt;1.75,"Low",IF(P2&lt;2.5,"Medium","High"))</f>
        <v>Low</v>
      </c>
      <c r="R2" s="2">
        <f>ROUND(0.1*IF('Original Dataset'!C2="Retail",1,IF('Original Dataset'!C2="Business",2,3))+0.25*IF('Original Dataset'!D2="Domestic",1,3)+0.1*IF(OR(ISNUMBER(SEARCH("Standard",'Original Dataset'!E2)),ISNUMBER(SEARCH("Payroll",'Original Dataset'!E2))),1,IF(ISNUMBER(SEARCH("Investments",'Original Dataset'!E2)),2,3))+0.05*IF(AND('Original Dataset'!F2="Digital",'Original Dataset'!C2="Retail"),1,IF(ISNUMBER(SEARCH("Branch",'Original Dataset'!F2)),2,3))+0.1*IF(OR('Original Dataset'!I2="Salary",'Original Dataset'!I2="Service revenue",'Original Dataset'!I2="Operating revenue"),1,IF('Original Dataset'!I2="Wealth / investments",2,3))+0.1*IF('Original Dataset'!M2="Low",1,IF('Original Dataset'!M2="Medium",2,3))+0.15*IF('Original Dataset'!J2=1,3,0)+0.1*IF('Original Dataset'!K2=1,3,0)+0.05*IF('Original Dataset'!L2=1,5,0),2)</f>
        <v>0.7</v>
      </c>
      <c r="S2" s="2" t="str">
        <f t="shared" ref="S2:S7" si="1">IF(R2&lt;1.75,"Low",IF(R2&lt;2.5,"Medium","High"))</f>
        <v>Low</v>
      </c>
      <c r="T2" s="2" t="str">
        <f t="shared" ref="T2:T7" si="2">Q2&amp;" → "&amp;S2</f>
        <v>Low → Low</v>
      </c>
    </row>
    <row r="3" spans="1:20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20</v>
      </c>
      <c r="G3" s="2">
        <v>48</v>
      </c>
      <c r="H3" s="2">
        <v>124000</v>
      </c>
      <c r="I3" s="2" t="s">
        <v>29</v>
      </c>
      <c r="J3" s="2">
        <v>1</v>
      </c>
      <c r="K3" s="2">
        <v>0</v>
      </c>
      <c r="L3" s="2">
        <v>0</v>
      </c>
      <c r="M3" s="2" t="s">
        <v>30</v>
      </c>
      <c r="N3" s="2" t="s">
        <v>30</v>
      </c>
      <c r="O3" s="2" t="s">
        <v>31</v>
      </c>
      <c r="P3" s="2">
        <f>ROUND(0.2*IF('Original Dataset'!C3="Retail",1,IF('Original Dataset'!C3="Business",2,3))+0.15*IF('Original Dataset'!D3="Domestic",1,3)+0.15*IF(OR(ISNUMBER(SEARCH("Standard",'Original Dataset'!E3)),ISNUMBER(SEARCH("Payroll",'Original Dataset'!E3))),1,IF(ISNUMBER(SEARCH("Investments",'Original Dataset'!E3)),2,3))+0.1*IF(AND('Original Dataset'!F3="Digital",'Original Dataset'!C3="Retail"),1,IF(ISNUMBER(SEARCH("Branch",'Original Dataset'!F3)),2,3))+0.1*IF(OR('Original Dataset'!I3="Salary",'Original Dataset'!I3="Service revenue",'Original Dataset'!I3="Operating revenue"),1,IF('Original Dataset'!I3="Wealth / investments",2,3))+0.1*IF('Original Dataset'!M3="Low",1,IF('Original Dataset'!M3="Medium",2,3))+0.1*IF('Original Dataset'!J3=1,3,0)+0.05*IF('Original Dataset'!K3=1,3,0)+0.05*IF('Original Dataset'!L3=1,5,0),2)</f>
        <v>2.2999999999999998</v>
      </c>
      <c r="Q3" s="2" t="str">
        <f t="shared" si="0"/>
        <v>Medium</v>
      </c>
      <c r="R3" s="2">
        <f>ROUND(0.1*IF('Original Dataset'!C3="Retail",1,IF('Original Dataset'!C3="Business",2,3))+0.25*IF('Original Dataset'!D3="Domestic",1,3)+0.1*IF(OR(ISNUMBER(SEARCH("Standard",'Original Dataset'!E3)),ISNUMBER(SEARCH("Payroll",'Original Dataset'!E3))),1,IF(ISNUMBER(SEARCH("Investments",'Original Dataset'!E3)),2,3))+0.05*IF(AND('Original Dataset'!F3="Digital",'Original Dataset'!C3="Retail"),1,IF(ISNUMBER(SEARCH("Branch",'Original Dataset'!F3)),2,3))+0.1*IF(OR('Original Dataset'!I3="Salary",'Original Dataset'!I3="Service revenue",'Original Dataset'!I3="Operating revenue"),1,IF('Original Dataset'!I3="Wealth / investments",2,3))+0.1*IF('Original Dataset'!M3="Low",1,IF('Original Dataset'!M3="Medium",2,3))+0.15*IF('Original Dataset'!J3=1,3,0)+0.1*IF('Original Dataset'!K3=1,3,0)+0.05*IF('Original Dataset'!L3=1,5,0),2)</f>
        <v>2.25</v>
      </c>
      <c r="S3" s="2" t="str">
        <f t="shared" si="1"/>
        <v>Medium</v>
      </c>
      <c r="T3" s="2" t="str">
        <f t="shared" si="2"/>
        <v>Medium → Medium</v>
      </c>
    </row>
    <row r="4" spans="1:20" x14ac:dyDescent="0.25">
      <c r="A4" s="2" t="s">
        <v>32</v>
      </c>
      <c r="B4" s="2" t="s">
        <v>33</v>
      </c>
      <c r="C4" s="2" t="s">
        <v>26</v>
      </c>
      <c r="D4" s="2" t="s">
        <v>27</v>
      </c>
      <c r="E4" s="2" t="s">
        <v>34</v>
      </c>
      <c r="F4" s="2" t="s">
        <v>35</v>
      </c>
      <c r="G4" s="2">
        <v>60</v>
      </c>
      <c r="H4" s="2">
        <v>210000</v>
      </c>
      <c r="I4" s="2" t="s">
        <v>36</v>
      </c>
      <c r="J4" s="2">
        <v>0</v>
      </c>
      <c r="K4" s="2">
        <v>1</v>
      </c>
      <c r="L4" s="2">
        <v>0</v>
      </c>
      <c r="M4" s="2" t="s">
        <v>37</v>
      </c>
      <c r="N4" s="2" t="s">
        <v>30</v>
      </c>
      <c r="O4" s="2" t="s">
        <v>31</v>
      </c>
      <c r="P4" s="2">
        <f>ROUND(0.2*IF('Original Dataset'!C4="Retail",1,IF('Original Dataset'!C4="Business",2,3))+0.15*IF('Original Dataset'!D4="Domestic",1,3)+0.15*IF(OR(ISNUMBER(SEARCH("Standard",'Original Dataset'!E4)),ISNUMBER(SEARCH("Payroll",'Original Dataset'!E4))),1,IF(ISNUMBER(SEARCH("Investments",'Original Dataset'!E4)),2,3))+0.1*IF(AND('Original Dataset'!F4="Digital",'Original Dataset'!C4="Retail"),1,IF(ISNUMBER(SEARCH("Branch",'Original Dataset'!F4)),2,3))+0.1*IF(OR('Original Dataset'!I4="Salary",'Original Dataset'!I4="Service revenue",'Original Dataset'!I4="Operating revenue"),1,IF('Original Dataset'!I4="Wealth / investments",2,3))+0.1*IF('Original Dataset'!M4="Low",1,IF('Original Dataset'!M4="Medium",2,3))+0.1*IF('Original Dataset'!J4=1,3,0)+0.05*IF('Original Dataset'!K4=1,3,0)+0.05*IF('Original Dataset'!L4=1,5,0),2)</f>
        <v>2.15</v>
      </c>
      <c r="Q4" s="2" t="str">
        <f t="shared" si="0"/>
        <v>Medium</v>
      </c>
      <c r="R4" s="2">
        <f>ROUND(0.1*IF('Original Dataset'!C4="Retail",1,IF('Original Dataset'!C4="Business",2,3))+0.25*IF('Original Dataset'!D4="Domestic",1,3)+0.1*IF(OR(ISNUMBER(SEARCH("Standard",'Original Dataset'!E4)),ISNUMBER(SEARCH("Payroll",'Original Dataset'!E4))),1,IF(ISNUMBER(SEARCH("Investments",'Original Dataset'!E4)),2,3))+0.05*IF(AND('Original Dataset'!F4="Digital",'Original Dataset'!C4="Retail"),1,IF(ISNUMBER(SEARCH("Branch",'Original Dataset'!F4)),2,3))+0.1*IF(OR('Original Dataset'!I4="Salary",'Original Dataset'!I4="Service revenue",'Original Dataset'!I4="Operating revenue"),1,IF('Original Dataset'!I4="Wealth / investments",2,3))+0.1*IF('Original Dataset'!M4="Low",1,IF('Original Dataset'!M4="Medium",2,3))+0.15*IF('Original Dataset'!J4=1,3,0)+0.1*IF('Original Dataset'!K4=1,3,0)+0.05*IF('Original Dataset'!L4=1,5,0),2)</f>
        <v>2.15</v>
      </c>
      <c r="S4" s="2" t="str">
        <f t="shared" si="1"/>
        <v>Medium</v>
      </c>
      <c r="T4" s="2" t="str">
        <f t="shared" si="2"/>
        <v>Medium → Medium</v>
      </c>
    </row>
    <row r="5" spans="1:20" x14ac:dyDescent="0.25">
      <c r="A5" s="2" t="s">
        <v>38</v>
      </c>
      <c r="B5" s="2" t="s">
        <v>39</v>
      </c>
      <c r="C5" s="2" t="s">
        <v>40</v>
      </c>
      <c r="D5" s="2" t="s">
        <v>18</v>
      </c>
      <c r="E5" s="2" t="s">
        <v>41</v>
      </c>
      <c r="F5" s="2" t="s">
        <v>42</v>
      </c>
      <c r="G5" s="2">
        <v>16</v>
      </c>
      <c r="H5" s="2">
        <v>98000</v>
      </c>
      <c r="I5" s="2" t="s">
        <v>43</v>
      </c>
      <c r="J5" s="2">
        <v>0</v>
      </c>
      <c r="K5" s="2">
        <v>0</v>
      </c>
      <c r="L5" s="2">
        <v>0</v>
      </c>
      <c r="M5" s="2" t="s">
        <v>37</v>
      </c>
      <c r="N5" s="2" t="s">
        <v>37</v>
      </c>
      <c r="O5" s="2" t="s">
        <v>44</v>
      </c>
      <c r="P5" s="2">
        <f>ROUND(0.2*IF('Original Dataset'!C5="Retail",1,IF('Original Dataset'!C5="Business",2,3))+0.15*IF('Original Dataset'!D5="Domestic",1,3)+0.15*IF(OR(ISNUMBER(SEARCH("Standard",'Original Dataset'!E5)),ISNUMBER(SEARCH("Payroll",'Original Dataset'!E5))),1,IF(ISNUMBER(SEARCH("Investments",'Original Dataset'!E5)),2,3))+0.1*IF(AND('Original Dataset'!F5="Digital",'Original Dataset'!C5="Retail"),1,IF(ISNUMBER(SEARCH("Branch",'Original Dataset'!F5)),2,3))+0.1*IF(OR('Original Dataset'!I5="Salary",'Original Dataset'!I5="Service revenue",'Original Dataset'!I5="Operating revenue"),1,IF('Original Dataset'!I5="Wealth / investments",2,3))+0.1*IF('Original Dataset'!M5="Low",1,IF('Original Dataset'!M5="Medium",2,3))+0.1*IF('Original Dataset'!J5=1,3,0)+0.05*IF('Original Dataset'!K5=1,3,0)+0.05*IF('Original Dataset'!L5=1,5,0),2)</f>
        <v>1.75</v>
      </c>
      <c r="Q5" s="2" t="str">
        <f t="shared" si="0"/>
        <v>Medium</v>
      </c>
      <c r="R5" s="2">
        <f>ROUND(0.1*IF('Original Dataset'!C5="Retail",1,IF('Original Dataset'!C5="Business",2,3))+0.25*IF('Original Dataset'!D5="Domestic",1,3)+0.1*IF(OR(ISNUMBER(SEARCH("Standard",'Original Dataset'!E5)),ISNUMBER(SEARCH("Payroll",'Original Dataset'!E5))),1,IF(ISNUMBER(SEARCH("Investments",'Original Dataset'!E5)),2,3))+0.05*IF(AND('Original Dataset'!F5="Digital",'Original Dataset'!C5="Retail"),1,IF(ISNUMBER(SEARCH("Branch",'Original Dataset'!F5)),2,3))+0.1*IF(OR('Original Dataset'!I5="Salary",'Original Dataset'!I5="Service revenue",'Original Dataset'!I5="Operating revenue"),1,IF('Original Dataset'!I5="Wealth / investments",2,3))+0.1*IF('Original Dataset'!M5="Low",1,IF('Original Dataset'!M5="Medium",2,3))+0.15*IF('Original Dataset'!J5=1,3,0)+0.1*IF('Original Dataset'!K5=1,3,0)+0.05*IF('Original Dataset'!L5=1,5,0),2)</f>
        <v>1.3</v>
      </c>
      <c r="S5" s="2" t="str">
        <f t="shared" si="1"/>
        <v>Low</v>
      </c>
      <c r="T5" s="2" t="str">
        <f t="shared" si="2"/>
        <v>Medium → Low</v>
      </c>
    </row>
    <row r="6" spans="1:20" x14ac:dyDescent="0.25">
      <c r="A6" s="2" t="s">
        <v>45</v>
      </c>
      <c r="B6" s="2" t="s">
        <v>46</v>
      </c>
      <c r="C6" s="2" t="s">
        <v>26</v>
      </c>
      <c r="D6" s="2" t="s">
        <v>18</v>
      </c>
      <c r="E6" s="2" t="s">
        <v>47</v>
      </c>
      <c r="F6" s="2" t="s">
        <v>35</v>
      </c>
      <c r="G6" s="2">
        <v>34</v>
      </c>
      <c r="H6" s="2">
        <v>41000</v>
      </c>
      <c r="I6" s="2" t="s">
        <v>48</v>
      </c>
      <c r="J6" s="2">
        <v>0</v>
      </c>
      <c r="K6" s="2">
        <v>0</v>
      </c>
      <c r="L6" s="2">
        <v>0</v>
      </c>
      <c r="M6" s="2" t="s">
        <v>22</v>
      </c>
      <c r="N6" s="2" t="s">
        <v>37</v>
      </c>
      <c r="O6" s="2" t="s">
        <v>44</v>
      </c>
      <c r="P6" s="2">
        <f>ROUND(0.2*IF('Original Dataset'!C6="Retail",1,IF('Original Dataset'!C6="Business",2,3))+0.15*IF('Original Dataset'!D6="Domestic",1,3)+0.15*IF(OR(ISNUMBER(SEARCH("Standard",'Original Dataset'!E6)),ISNUMBER(SEARCH("Payroll",'Original Dataset'!E6))),1,IF(ISNUMBER(SEARCH("Investments",'Original Dataset'!E6)),2,3))+0.1*IF(AND('Original Dataset'!F6="Digital",'Original Dataset'!C6="Retail"),1,IF(ISNUMBER(SEARCH("Branch",'Original Dataset'!F6)),2,3))+0.1*IF(OR('Original Dataset'!I6="Salary",'Original Dataset'!I6="Service revenue",'Original Dataset'!I6="Operating revenue"),1,IF('Original Dataset'!I6="Wealth / investments",2,3))+0.1*IF('Original Dataset'!M6="Low",1,IF('Original Dataset'!M6="Medium",2,3))+0.1*IF('Original Dataset'!J6=1,3,0)+0.05*IF('Original Dataset'!K6=1,3,0)+0.05*IF('Original Dataset'!L6=1,5,0),2)</f>
        <v>1.1000000000000001</v>
      </c>
      <c r="Q6" s="2" t="str">
        <f t="shared" si="0"/>
        <v>Low</v>
      </c>
      <c r="R6" s="2">
        <f>ROUND(0.1*IF('Original Dataset'!C6="Retail",1,IF('Original Dataset'!C6="Business",2,3))+0.25*IF('Original Dataset'!D6="Domestic",1,3)+0.1*IF(OR(ISNUMBER(SEARCH("Standard",'Original Dataset'!E6)),ISNUMBER(SEARCH("Payroll",'Original Dataset'!E6))),1,IF(ISNUMBER(SEARCH("Investments",'Original Dataset'!E6)),2,3))+0.05*IF(AND('Original Dataset'!F6="Digital",'Original Dataset'!C6="Retail"),1,IF(ISNUMBER(SEARCH("Branch",'Original Dataset'!F6)),2,3))+0.1*IF(OR('Original Dataset'!I6="Salary",'Original Dataset'!I6="Service revenue",'Original Dataset'!I6="Operating revenue"),1,IF('Original Dataset'!I6="Wealth / investments",2,3))+0.1*IF('Original Dataset'!M6="Low",1,IF('Original Dataset'!M6="Medium",2,3))+0.15*IF('Original Dataset'!J6=1,3,0)+0.1*IF('Original Dataset'!K6=1,3,0)+0.05*IF('Original Dataset'!L6=1,5,0),2)</f>
        <v>0.85</v>
      </c>
      <c r="S6" s="2" t="str">
        <f t="shared" si="1"/>
        <v>Low</v>
      </c>
      <c r="T6" s="2" t="str">
        <f t="shared" si="2"/>
        <v>Low → Low</v>
      </c>
    </row>
    <row r="7" spans="1:20" x14ac:dyDescent="0.25">
      <c r="A7" s="2" t="s">
        <v>49</v>
      </c>
      <c r="B7" s="2" t="s">
        <v>50</v>
      </c>
      <c r="C7" s="2" t="s">
        <v>26</v>
      </c>
      <c r="D7" s="2" t="s">
        <v>27</v>
      </c>
      <c r="E7" s="2" t="s">
        <v>34</v>
      </c>
      <c r="F7" s="2" t="s">
        <v>20</v>
      </c>
      <c r="G7" s="2">
        <v>72</v>
      </c>
      <c r="H7" s="2">
        <v>260000</v>
      </c>
      <c r="I7" s="2" t="s">
        <v>36</v>
      </c>
      <c r="J7" s="2">
        <v>1</v>
      </c>
      <c r="K7" s="2">
        <v>0</v>
      </c>
      <c r="L7" s="2">
        <v>0</v>
      </c>
      <c r="M7" s="2" t="s">
        <v>30</v>
      </c>
      <c r="N7" s="2" t="s">
        <v>30</v>
      </c>
      <c r="O7" s="2" t="s">
        <v>31</v>
      </c>
      <c r="P7" s="2">
        <f>ROUND(0.2*IF('Original Dataset'!C7="Retail",1,IF('Original Dataset'!C7="Business",2,3))+0.15*IF('Original Dataset'!D7="Domestic",1,3)+0.15*IF(OR(ISNUMBER(SEARCH("Standard",'Original Dataset'!E7)),ISNUMBER(SEARCH("Payroll",'Original Dataset'!E7))),1,IF(ISNUMBER(SEARCH("Investments",'Original Dataset'!E7)),2,3))+0.1*IF(AND('Original Dataset'!F7="Digital",'Original Dataset'!C7="Retail"),1,IF(ISNUMBER(SEARCH("Branch",'Original Dataset'!F7)),2,3))+0.1*IF(OR('Original Dataset'!I7="Salary",'Original Dataset'!I7="Service revenue",'Original Dataset'!I7="Operating revenue"),1,IF('Original Dataset'!I7="Wealth / investments",2,3))+0.1*IF('Original Dataset'!M7="Low",1,IF('Original Dataset'!M7="Medium",2,3))+0.1*IF('Original Dataset'!J7=1,3,0)+0.05*IF('Original Dataset'!K7=1,3,0)+0.05*IF('Original Dataset'!L7=1,5,0),2)</f>
        <v>2.5</v>
      </c>
      <c r="Q7" s="2" t="str">
        <f t="shared" si="0"/>
        <v>High</v>
      </c>
      <c r="R7" s="2">
        <f>ROUND(0.1*IF('Original Dataset'!C7="Retail",1,IF('Original Dataset'!C7="Business",2,3))+0.25*IF('Original Dataset'!D7="Domestic",1,3)+0.1*IF(OR(ISNUMBER(SEARCH("Standard",'Original Dataset'!E7)),ISNUMBER(SEARCH("Payroll",'Original Dataset'!E7))),1,IF(ISNUMBER(SEARCH("Investments",'Original Dataset'!E7)),2,3))+0.05*IF(AND('Original Dataset'!F7="Digital",'Original Dataset'!C7="Retail"),1,IF(ISNUMBER(SEARCH("Branch",'Original Dataset'!F7)),2,3))+0.1*IF(OR('Original Dataset'!I7="Salary",'Original Dataset'!I7="Service revenue",'Original Dataset'!I7="Operating revenue"),1,IF('Original Dataset'!I7="Wealth / investments",2,3))+0.1*IF('Original Dataset'!M7="Low",1,IF('Original Dataset'!M7="Medium",2,3))+0.15*IF('Original Dataset'!J7=1,3,0)+0.1*IF('Original Dataset'!K7=1,3,0)+0.05*IF('Original Dataset'!L7=1,5,0),2)</f>
        <v>2.4500000000000002</v>
      </c>
      <c r="S7" s="2" t="str">
        <f t="shared" si="1"/>
        <v>Medium</v>
      </c>
      <c r="T7" s="2" t="str">
        <f t="shared" si="2"/>
        <v>High → Medium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Dataset</vt:lpstr>
      <vt:lpstr>Weights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Eduardo Hinrichsen Picand</cp:lastModifiedBy>
  <dcterms:created xsi:type="dcterms:W3CDTF">2026-05-03T21:40:23Z</dcterms:created>
  <dcterms:modified xsi:type="dcterms:W3CDTF">2026-05-04T00:24:38Z</dcterms:modified>
</cp:coreProperties>
</file>