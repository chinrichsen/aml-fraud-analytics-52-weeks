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output\"/>
    </mc:Choice>
  </mc:AlternateContent>
  <xr:revisionPtr revIDLastSave="0" documentId="13_ncr:1_{CF8036C8-42CE-4FA2-A188-AD511670293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riginal Dataset" sheetId="1" r:id="rId1"/>
    <sheet name="Exercise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2" l="1"/>
  <c r="L9" i="2"/>
  <c r="K9" i="2"/>
  <c r="J9" i="2"/>
  <c r="I9" i="2"/>
  <c r="H9" i="2"/>
  <c r="G9" i="2"/>
  <c r="F9" i="2"/>
  <c r="E9" i="2"/>
  <c r="D9" i="2"/>
  <c r="C9" i="2"/>
  <c r="B9" i="2"/>
  <c r="A9" i="2"/>
  <c r="M8" i="2"/>
  <c r="L8" i="2"/>
  <c r="K8" i="2"/>
  <c r="J8" i="2"/>
  <c r="I8" i="2"/>
  <c r="H8" i="2"/>
  <c r="G8" i="2"/>
  <c r="F8" i="2"/>
  <c r="E8" i="2"/>
  <c r="D8" i="2"/>
  <c r="C8" i="2"/>
  <c r="B8" i="2"/>
  <c r="A8" i="2"/>
  <c r="M7" i="2"/>
  <c r="L7" i="2"/>
  <c r="K7" i="2"/>
  <c r="J7" i="2"/>
  <c r="I7" i="2"/>
  <c r="H7" i="2"/>
  <c r="G7" i="2"/>
  <c r="F7" i="2"/>
  <c r="E7" i="2"/>
  <c r="D7" i="2"/>
  <c r="C7" i="2"/>
  <c r="B7" i="2"/>
  <c r="A7" i="2"/>
  <c r="M6" i="2"/>
  <c r="L6" i="2"/>
  <c r="K6" i="2"/>
  <c r="J6" i="2"/>
  <c r="I6" i="2"/>
  <c r="H6" i="2"/>
  <c r="G6" i="2"/>
  <c r="F6" i="2"/>
  <c r="E6" i="2"/>
  <c r="D6" i="2"/>
  <c r="C6" i="2"/>
  <c r="B6" i="2"/>
  <c r="A6" i="2"/>
  <c r="M5" i="2"/>
  <c r="L5" i="2"/>
  <c r="K5" i="2"/>
  <c r="J5" i="2"/>
  <c r="I5" i="2"/>
  <c r="H5" i="2"/>
  <c r="G5" i="2"/>
  <c r="F5" i="2"/>
  <c r="E5" i="2"/>
  <c r="D5" i="2"/>
  <c r="C5" i="2"/>
  <c r="B5" i="2"/>
  <c r="A5" i="2"/>
  <c r="M4" i="2"/>
  <c r="L4" i="2"/>
  <c r="K4" i="2"/>
  <c r="J4" i="2"/>
  <c r="I4" i="2"/>
  <c r="H4" i="2"/>
  <c r="G4" i="2"/>
  <c r="F4" i="2"/>
  <c r="E4" i="2"/>
  <c r="D4" i="2"/>
  <c r="C4" i="2"/>
  <c r="B4" i="2"/>
  <c r="A4" i="2"/>
  <c r="M3" i="2"/>
  <c r="L3" i="2"/>
  <c r="K3" i="2"/>
  <c r="J3" i="2"/>
  <c r="I3" i="2"/>
  <c r="H3" i="2"/>
  <c r="G3" i="2"/>
  <c r="F3" i="2"/>
  <c r="E3" i="2"/>
  <c r="D3" i="2"/>
  <c r="C3" i="2"/>
  <c r="B3" i="2"/>
  <c r="A3" i="2"/>
  <c r="M2" i="2"/>
  <c r="L2" i="2"/>
  <c r="K2" i="2"/>
  <c r="J2" i="2"/>
  <c r="I2" i="2"/>
  <c r="H2" i="2"/>
  <c r="G2" i="2"/>
  <c r="F2" i="2"/>
  <c r="E2" i="2"/>
  <c r="D2" i="2"/>
  <c r="C2" i="2"/>
  <c r="B2" i="2"/>
  <c r="A2" i="2"/>
  <c r="N9" i="2" l="1"/>
  <c r="O9" i="2" s="1"/>
  <c r="P9" i="2" s="1"/>
  <c r="N8" i="2"/>
  <c r="O8" i="2" s="1"/>
  <c r="P8" i="2" s="1"/>
  <c r="N7" i="2"/>
  <c r="O7" i="2" s="1"/>
  <c r="P7" i="2" s="1"/>
  <c r="N6" i="2"/>
  <c r="O6" i="2" s="1"/>
  <c r="P6" i="2" s="1"/>
  <c r="N5" i="2"/>
  <c r="O5" i="2" s="1"/>
  <c r="P5" i="2" s="1"/>
  <c r="N4" i="2"/>
  <c r="O4" i="2" s="1"/>
  <c r="P4" i="2" s="1"/>
  <c r="N3" i="2"/>
  <c r="O3" i="2" s="1"/>
  <c r="P3" i="2" s="1"/>
  <c r="N2" i="2"/>
  <c r="O2" i="2" s="1"/>
  <c r="P2" i="2" s="1"/>
</calcChain>
</file>

<file path=xl/sharedStrings.xml><?xml version="1.0" encoding="utf-8"?>
<sst xmlns="http://schemas.openxmlformats.org/spreadsheetml/2006/main" count="133" uniqueCount="50">
  <si>
    <t>application_id</t>
  </si>
  <si>
    <t>customer_name</t>
  </si>
  <si>
    <t>application_type</t>
  </si>
  <si>
    <t>file_depth</t>
  </si>
  <si>
    <t>account_age</t>
  </si>
  <si>
    <t>identity_consistency</t>
  </si>
  <si>
    <t>phone_reuse</t>
  </si>
  <si>
    <t>email_reuse</t>
  </si>
  <si>
    <t>address_reuse</t>
  </si>
  <si>
    <t>device_reuse</t>
  </si>
  <si>
    <t>ip_risk</t>
  </si>
  <si>
    <t>synthetic_indicator</t>
  </si>
  <si>
    <t>manual_risk_label</t>
  </si>
  <si>
    <t>T001</t>
  </si>
  <si>
    <t>Aster Bank</t>
  </si>
  <si>
    <t>New</t>
  </si>
  <si>
    <t>Thin-file</t>
  </si>
  <si>
    <t>&lt;1 mo</t>
  </si>
  <si>
    <t>Mismatched</t>
  </si>
  <si>
    <t>Reused</t>
  </si>
  <si>
    <t>Shared</t>
  </si>
  <si>
    <t>High</t>
  </si>
  <si>
    <t>Yes</t>
  </si>
  <si>
    <t>T002</t>
  </si>
  <si>
    <t>Blue Harbor Retail</t>
  </si>
  <si>
    <t>Stable</t>
  </si>
  <si>
    <t>1-12 mo</t>
  </si>
  <si>
    <t>Consistent</t>
  </si>
  <si>
    <t>Same</t>
  </si>
  <si>
    <t>Low</t>
  </si>
  <si>
    <t>No</t>
  </si>
  <si>
    <t>T003</t>
  </si>
  <si>
    <t>Cedar Lending</t>
  </si>
  <si>
    <t>Partial</t>
  </si>
  <si>
    <t>T004</t>
  </si>
  <si>
    <t>Delta Credit</t>
  </si>
  <si>
    <t>Existing</t>
  </si>
  <si>
    <t>Moderate</t>
  </si>
  <si>
    <t>12+ mo</t>
  </si>
  <si>
    <t>T005</t>
  </si>
  <si>
    <t>Echo Finance</t>
  </si>
  <si>
    <t>T006</t>
  </si>
  <si>
    <t>Fjord Payments</t>
  </si>
  <si>
    <t>T007</t>
  </si>
  <si>
    <t>Grove Markets</t>
  </si>
  <si>
    <t>T008</t>
  </si>
  <si>
    <t>Harbor Loans</t>
  </si>
  <si>
    <t>propensity_score</t>
  </si>
  <si>
    <t>risk_band</t>
  </si>
  <si>
    <t>monitoring_action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</si>
</sst>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workbookViewId="0">
      <pane ySplit="1" topLeftCell="A2" activePane="bottomLeft" state="frozen"/>
      <selection pane="bottomLeft" activeCell="D16" sqref="D16"/>
    </sheetView>
  </sheetViews>
  <sheetFormatPr defaultRowHeight="15" x14ac:dyDescent="0.25"/>
  <cols>
    <col min="1" max="1" width="16" customWidth="1"/>
    <col min="2" max="2" width="20" customWidth="1"/>
    <col min="3" max="3" width="18" customWidth="1"/>
    <col min="4" max="4" width="12" customWidth="1"/>
    <col min="5" max="5" width="13" customWidth="1"/>
    <col min="6" max="6" width="22" customWidth="1"/>
    <col min="7" max="8" width="13" customWidth="1"/>
    <col min="9" max="9" width="15" customWidth="1"/>
    <col min="10" max="10" width="14" customWidth="1"/>
    <col min="11" max="11" width="9" customWidth="1"/>
    <col min="12" max="12" width="21" customWidth="1"/>
    <col min="13" max="13" width="19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19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21</v>
      </c>
    </row>
    <row r="3" spans="1:13" x14ac:dyDescent="0.25">
      <c r="A3" s="2" t="s">
        <v>23</v>
      </c>
      <c r="B3" s="2" t="s">
        <v>24</v>
      </c>
      <c r="C3" s="2" t="s">
        <v>15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28</v>
      </c>
      <c r="I3" s="2" t="s">
        <v>28</v>
      </c>
      <c r="J3" s="2" t="s">
        <v>28</v>
      </c>
      <c r="K3" s="2" t="s">
        <v>29</v>
      </c>
      <c r="L3" s="2" t="s">
        <v>30</v>
      </c>
      <c r="M3" s="2" t="s">
        <v>29</v>
      </c>
    </row>
    <row r="4" spans="1:13" x14ac:dyDescent="0.25">
      <c r="A4" s="2" t="s">
        <v>31</v>
      </c>
      <c r="B4" s="2" t="s">
        <v>32</v>
      </c>
      <c r="C4" s="2" t="s">
        <v>15</v>
      </c>
      <c r="D4" s="2" t="s">
        <v>16</v>
      </c>
      <c r="E4" s="2" t="s">
        <v>17</v>
      </c>
      <c r="F4" s="2" t="s">
        <v>33</v>
      </c>
      <c r="G4" s="2" t="s">
        <v>20</v>
      </c>
      <c r="H4" s="2" t="s">
        <v>19</v>
      </c>
      <c r="I4" s="2" t="s">
        <v>28</v>
      </c>
      <c r="J4" s="2" t="s">
        <v>20</v>
      </c>
      <c r="K4" s="2" t="s">
        <v>21</v>
      </c>
      <c r="L4" s="2" t="s">
        <v>22</v>
      </c>
      <c r="M4" s="2" t="s">
        <v>21</v>
      </c>
    </row>
    <row r="5" spans="1:13" x14ac:dyDescent="0.2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27</v>
      </c>
      <c r="G5" s="2" t="s">
        <v>28</v>
      </c>
      <c r="H5" s="2" t="s">
        <v>28</v>
      </c>
      <c r="I5" s="2" t="s">
        <v>28</v>
      </c>
      <c r="J5" s="2" t="s">
        <v>28</v>
      </c>
      <c r="K5" s="2" t="s">
        <v>29</v>
      </c>
      <c r="L5" s="2" t="s">
        <v>30</v>
      </c>
      <c r="M5" s="2" t="s">
        <v>29</v>
      </c>
    </row>
    <row r="6" spans="1:13" x14ac:dyDescent="0.25">
      <c r="A6" s="2" t="s">
        <v>39</v>
      </c>
      <c r="B6" s="2" t="s">
        <v>40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20</v>
      </c>
      <c r="H6" s="2" t="s">
        <v>20</v>
      </c>
      <c r="I6" s="2" t="s">
        <v>19</v>
      </c>
      <c r="J6" s="2" t="s">
        <v>20</v>
      </c>
      <c r="K6" s="2" t="s">
        <v>21</v>
      </c>
      <c r="L6" s="2" t="s">
        <v>22</v>
      </c>
      <c r="M6" s="2" t="s">
        <v>21</v>
      </c>
    </row>
    <row r="7" spans="1:13" x14ac:dyDescent="0.25">
      <c r="A7" s="2" t="s">
        <v>41</v>
      </c>
      <c r="B7" s="2" t="s">
        <v>42</v>
      </c>
      <c r="C7" s="2" t="s">
        <v>15</v>
      </c>
      <c r="D7" s="2" t="s">
        <v>16</v>
      </c>
      <c r="E7" s="2" t="s">
        <v>17</v>
      </c>
      <c r="F7" s="2" t="s">
        <v>33</v>
      </c>
      <c r="G7" s="2" t="s">
        <v>20</v>
      </c>
      <c r="H7" s="2" t="s">
        <v>28</v>
      </c>
      <c r="I7" s="2" t="s">
        <v>19</v>
      </c>
      <c r="J7" s="2" t="s">
        <v>20</v>
      </c>
      <c r="K7" s="2" t="s">
        <v>21</v>
      </c>
      <c r="L7" s="2" t="s">
        <v>22</v>
      </c>
      <c r="M7" s="2" t="s">
        <v>21</v>
      </c>
    </row>
    <row r="8" spans="1:13" x14ac:dyDescent="0.25">
      <c r="A8" s="2" t="s">
        <v>43</v>
      </c>
      <c r="B8" s="2" t="s">
        <v>44</v>
      </c>
      <c r="C8" s="2" t="s">
        <v>36</v>
      </c>
      <c r="D8" s="2" t="s">
        <v>25</v>
      </c>
      <c r="E8" s="2" t="s">
        <v>38</v>
      </c>
      <c r="F8" s="2" t="s">
        <v>27</v>
      </c>
      <c r="G8" s="2" t="s">
        <v>28</v>
      </c>
      <c r="H8" s="2" t="s">
        <v>20</v>
      </c>
      <c r="I8" s="2" t="s">
        <v>28</v>
      </c>
      <c r="J8" s="2" t="s">
        <v>28</v>
      </c>
      <c r="K8" s="2" t="s">
        <v>29</v>
      </c>
      <c r="L8" s="2" t="s">
        <v>30</v>
      </c>
      <c r="M8" s="2" t="s">
        <v>29</v>
      </c>
    </row>
    <row r="9" spans="1:13" x14ac:dyDescent="0.25">
      <c r="A9" s="2" t="s">
        <v>45</v>
      </c>
      <c r="B9" s="2" t="s">
        <v>46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19</v>
      </c>
      <c r="J9" s="2" t="s">
        <v>20</v>
      </c>
      <c r="K9" s="2" t="s">
        <v>21</v>
      </c>
      <c r="L9" s="2" t="s">
        <v>22</v>
      </c>
      <c r="M9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"/>
  <sheetViews>
    <sheetView tabSelected="1" topLeftCell="G1" workbookViewId="0">
      <pane ySplit="1" topLeftCell="A2" activePane="bottomLeft" state="frozen"/>
      <selection pane="bottomLeft" activeCell="J11" sqref="J11"/>
    </sheetView>
  </sheetViews>
  <sheetFormatPr defaultRowHeight="15" x14ac:dyDescent="0.25"/>
  <cols>
    <col min="1" max="13" width="24" customWidth="1"/>
    <col min="14" max="16" width="3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47</v>
      </c>
      <c r="O1" s="1" t="s">
        <v>48</v>
      </c>
      <c r="P1" s="1" t="s">
        <v>49</v>
      </c>
    </row>
    <row r="2" spans="1:16" x14ac:dyDescent="0.25">
      <c r="A2" s="2" t="str">
        <f>'Original Dataset'!A2</f>
        <v>T001</v>
      </c>
      <c r="B2" s="2" t="str">
        <f>'Original Dataset'!B2</f>
        <v>Aster Bank</v>
      </c>
      <c r="C2" s="2" t="str">
        <f>'Original Dataset'!C2</f>
        <v>New</v>
      </c>
      <c r="D2" s="2" t="str">
        <f>'Original Dataset'!D2</f>
        <v>Thin-file</v>
      </c>
      <c r="E2" s="2" t="str">
        <f>'Original Dataset'!E2</f>
        <v>&lt;1 mo</v>
      </c>
      <c r="F2" s="2" t="str">
        <f>'Original Dataset'!F2</f>
        <v>Mismatched</v>
      </c>
      <c r="G2" s="2" t="str">
        <f>'Original Dataset'!G2</f>
        <v>Reused</v>
      </c>
      <c r="H2" s="2" t="str">
        <f>'Original Dataset'!H2</f>
        <v>Reused</v>
      </c>
      <c r="I2" s="2" t="str">
        <f>'Original Dataset'!I2</f>
        <v>Reused</v>
      </c>
      <c r="J2" s="2" t="str">
        <f>'Original Dataset'!J2</f>
        <v>Shared</v>
      </c>
      <c r="K2" s="2" t="str">
        <f>'Original Dataset'!K2</f>
        <v>High</v>
      </c>
      <c r="L2" s="2" t="str">
        <f>'Original Dataset'!L2</f>
        <v>Yes</v>
      </c>
      <c r="M2" s="2" t="str">
        <f>'Original Dataset'!M2</f>
        <v>High</v>
      </c>
      <c r="N2" s="2">
        <f t="shared" ref="N2:N9" si="0">IF(D2="Thin-file",2,0)+IF(E2="&lt;1 mo",2,0)+IF(F2="Mismatched",2,0)+IF(G2="Reused",1,0)+IF(H2="Reused",1,0)+IF(I2="Reused",1,0)+IF(J2="Shared",1,0)+IF(K2="High",2,0)+IF(L2="Yes",2,0)</f>
        <v>14</v>
      </c>
      <c r="O2" s="2" t="str">
        <f t="shared" ref="O2:O9" si="1">IF(N2&gt;=8,"High",IF(N2&gt;=4,"Medium","Low"))</f>
        <v>High</v>
      </c>
      <c r="P2" s="2" t="str">
        <f t="shared" ref="P2:P9" si="2">IF(O2="High","Investigate and hold for review",IF(O2="Medium","Step-up review","Standard onboarding"))</f>
        <v>Investigate and hold for review</v>
      </c>
    </row>
    <row r="3" spans="1:16" x14ac:dyDescent="0.25">
      <c r="A3" s="2" t="str">
        <f>'Original Dataset'!A3</f>
        <v>T002</v>
      </c>
      <c r="B3" s="2" t="str">
        <f>'Original Dataset'!B3</f>
        <v>Blue Harbor Retail</v>
      </c>
      <c r="C3" s="2" t="str">
        <f>'Original Dataset'!C3</f>
        <v>New</v>
      </c>
      <c r="D3" s="2" t="str">
        <f>'Original Dataset'!D3</f>
        <v>Stable</v>
      </c>
      <c r="E3" s="2" t="str">
        <f>'Original Dataset'!E3</f>
        <v>1-12 mo</v>
      </c>
      <c r="F3" s="2" t="str">
        <f>'Original Dataset'!F3</f>
        <v>Consistent</v>
      </c>
      <c r="G3" s="2" t="str">
        <f>'Original Dataset'!G3</f>
        <v>Same</v>
      </c>
      <c r="H3" s="2" t="str">
        <f>'Original Dataset'!H3</f>
        <v>Same</v>
      </c>
      <c r="I3" s="2" t="str">
        <f>'Original Dataset'!I3</f>
        <v>Same</v>
      </c>
      <c r="J3" s="2" t="str">
        <f>'Original Dataset'!J3</f>
        <v>Same</v>
      </c>
      <c r="K3" s="2" t="str">
        <f>'Original Dataset'!K3</f>
        <v>Low</v>
      </c>
      <c r="L3" s="2" t="str">
        <f>'Original Dataset'!L3</f>
        <v>No</v>
      </c>
      <c r="M3" s="2" t="str">
        <f>'Original Dataset'!M3</f>
        <v>Low</v>
      </c>
      <c r="N3" s="2">
        <f t="shared" si="0"/>
        <v>0</v>
      </c>
      <c r="O3" s="2" t="str">
        <f t="shared" si="1"/>
        <v>Low</v>
      </c>
      <c r="P3" s="2" t="str">
        <f t="shared" si="2"/>
        <v>Standard onboarding</v>
      </c>
    </row>
    <row r="4" spans="1:16" x14ac:dyDescent="0.25">
      <c r="A4" s="2" t="str">
        <f>'Original Dataset'!A4</f>
        <v>T003</v>
      </c>
      <c r="B4" s="2" t="str">
        <f>'Original Dataset'!B4</f>
        <v>Cedar Lending</v>
      </c>
      <c r="C4" s="2" t="str">
        <f>'Original Dataset'!C4</f>
        <v>New</v>
      </c>
      <c r="D4" s="2" t="str">
        <f>'Original Dataset'!D4</f>
        <v>Thin-file</v>
      </c>
      <c r="E4" s="2" t="str">
        <f>'Original Dataset'!E4</f>
        <v>&lt;1 mo</v>
      </c>
      <c r="F4" s="2" t="str">
        <f>'Original Dataset'!F4</f>
        <v>Partial</v>
      </c>
      <c r="G4" s="2" t="str">
        <f>'Original Dataset'!G4</f>
        <v>Shared</v>
      </c>
      <c r="H4" s="2" t="str">
        <f>'Original Dataset'!H4</f>
        <v>Reused</v>
      </c>
      <c r="I4" s="2" t="str">
        <f>'Original Dataset'!I4</f>
        <v>Same</v>
      </c>
      <c r="J4" s="2" t="str">
        <f>'Original Dataset'!J4</f>
        <v>Shared</v>
      </c>
      <c r="K4" s="2" t="str">
        <f>'Original Dataset'!K4</f>
        <v>High</v>
      </c>
      <c r="L4" s="2" t="str">
        <f>'Original Dataset'!L4</f>
        <v>Yes</v>
      </c>
      <c r="M4" s="2" t="str">
        <f>'Original Dataset'!M4</f>
        <v>High</v>
      </c>
      <c r="N4" s="2">
        <f t="shared" si="0"/>
        <v>10</v>
      </c>
      <c r="O4" s="2" t="str">
        <f t="shared" si="1"/>
        <v>High</v>
      </c>
      <c r="P4" s="2" t="str">
        <f t="shared" si="2"/>
        <v>Investigate and hold for review</v>
      </c>
    </row>
    <row r="5" spans="1:16" x14ac:dyDescent="0.25">
      <c r="A5" s="2" t="str">
        <f>'Original Dataset'!A5</f>
        <v>T004</v>
      </c>
      <c r="B5" s="2" t="str">
        <f>'Original Dataset'!B5</f>
        <v>Delta Credit</v>
      </c>
      <c r="C5" s="2" t="str">
        <f>'Original Dataset'!C5</f>
        <v>Existing</v>
      </c>
      <c r="D5" s="2" t="str">
        <f>'Original Dataset'!D5</f>
        <v>Moderate</v>
      </c>
      <c r="E5" s="2" t="str">
        <f>'Original Dataset'!E5</f>
        <v>12+ mo</v>
      </c>
      <c r="F5" s="2" t="str">
        <f>'Original Dataset'!F5</f>
        <v>Consistent</v>
      </c>
      <c r="G5" s="2" t="str">
        <f>'Original Dataset'!G5</f>
        <v>Same</v>
      </c>
      <c r="H5" s="2" t="str">
        <f>'Original Dataset'!H5</f>
        <v>Same</v>
      </c>
      <c r="I5" s="2" t="str">
        <f>'Original Dataset'!I5</f>
        <v>Same</v>
      </c>
      <c r="J5" s="2" t="str">
        <f>'Original Dataset'!J5</f>
        <v>Same</v>
      </c>
      <c r="K5" s="2" t="str">
        <f>'Original Dataset'!K5</f>
        <v>Low</v>
      </c>
      <c r="L5" s="2" t="str">
        <f>'Original Dataset'!L5</f>
        <v>No</v>
      </c>
      <c r="M5" s="2" t="str">
        <f>'Original Dataset'!M5</f>
        <v>Low</v>
      </c>
      <c r="N5" s="2">
        <f t="shared" si="0"/>
        <v>0</v>
      </c>
      <c r="O5" s="2" t="str">
        <f t="shared" si="1"/>
        <v>Low</v>
      </c>
      <c r="P5" s="2" t="str">
        <f t="shared" si="2"/>
        <v>Standard onboarding</v>
      </c>
    </row>
    <row r="6" spans="1:16" x14ac:dyDescent="0.25">
      <c r="A6" s="2" t="str">
        <f>'Original Dataset'!A6</f>
        <v>T005</v>
      </c>
      <c r="B6" s="2" t="str">
        <f>'Original Dataset'!B6</f>
        <v>Echo Finance</v>
      </c>
      <c r="C6" s="2" t="str">
        <f>'Original Dataset'!C6</f>
        <v>New</v>
      </c>
      <c r="D6" s="2" t="str">
        <f>'Original Dataset'!D6</f>
        <v>Thin-file</v>
      </c>
      <c r="E6" s="2" t="str">
        <f>'Original Dataset'!E6</f>
        <v>&lt;1 mo</v>
      </c>
      <c r="F6" s="2" t="str">
        <f>'Original Dataset'!F6</f>
        <v>Mismatched</v>
      </c>
      <c r="G6" s="2" t="str">
        <f>'Original Dataset'!G6</f>
        <v>Shared</v>
      </c>
      <c r="H6" s="2" t="str">
        <f>'Original Dataset'!H6</f>
        <v>Shared</v>
      </c>
      <c r="I6" s="2" t="str">
        <f>'Original Dataset'!I6</f>
        <v>Reused</v>
      </c>
      <c r="J6" s="2" t="str">
        <f>'Original Dataset'!J6</f>
        <v>Shared</v>
      </c>
      <c r="K6" s="2" t="str">
        <f>'Original Dataset'!K6</f>
        <v>High</v>
      </c>
      <c r="L6" s="2" t="str">
        <f>'Original Dataset'!L6</f>
        <v>Yes</v>
      </c>
      <c r="M6" s="2" t="str">
        <f>'Original Dataset'!M6</f>
        <v>High</v>
      </c>
      <c r="N6" s="2">
        <f t="shared" si="0"/>
        <v>12</v>
      </c>
      <c r="O6" s="2" t="str">
        <f t="shared" si="1"/>
        <v>High</v>
      </c>
      <c r="P6" s="2" t="str">
        <f t="shared" si="2"/>
        <v>Investigate and hold for review</v>
      </c>
    </row>
    <row r="7" spans="1:16" x14ac:dyDescent="0.25">
      <c r="A7" s="2" t="str">
        <f>'Original Dataset'!A7</f>
        <v>T006</v>
      </c>
      <c r="B7" s="2" t="str">
        <f>'Original Dataset'!B7</f>
        <v>Fjord Payments</v>
      </c>
      <c r="C7" s="2" t="str">
        <f>'Original Dataset'!C7</f>
        <v>New</v>
      </c>
      <c r="D7" s="2" t="str">
        <f>'Original Dataset'!D7</f>
        <v>Thin-file</v>
      </c>
      <c r="E7" s="2" t="str">
        <f>'Original Dataset'!E7</f>
        <v>&lt;1 mo</v>
      </c>
      <c r="F7" s="2" t="str">
        <f>'Original Dataset'!F7</f>
        <v>Partial</v>
      </c>
      <c r="G7" s="2" t="str">
        <f>'Original Dataset'!G7</f>
        <v>Shared</v>
      </c>
      <c r="H7" s="2" t="str">
        <f>'Original Dataset'!H7</f>
        <v>Same</v>
      </c>
      <c r="I7" s="2" t="str">
        <f>'Original Dataset'!I7</f>
        <v>Reused</v>
      </c>
      <c r="J7" s="2" t="str">
        <f>'Original Dataset'!J7</f>
        <v>Shared</v>
      </c>
      <c r="K7" s="2" t="str">
        <f>'Original Dataset'!K7</f>
        <v>High</v>
      </c>
      <c r="L7" s="2" t="str">
        <f>'Original Dataset'!L7</f>
        <v>Yes</v>
      </c>
      <c r="M7" s="2" t="str">
        <f>'Original Dataset'!M7</f>
        <v>High</v>
      </c>
      <c r="N7" s="2">
        <f t="shared" si="0"/>
        <v>10</v>
      </c>
      <c r="O7" s="2" t="str">
        <f t="shared" si="1"/>
        <v>High</v>
      </c>
      <c r="P7" s="2" t="str">
        <f t="shared" si="2"/>
        <v>Investigate and hold for review</v>
      </c>
    </row>
    <row r="8" spans="1:16" x14ac:dyDescent="0.25">
      <c r="A8" s="2" t="str">
        <f>'Original Dataset'!A8</f>
        <v>T007</v>
      </c>
      <c r="B8" s="2" t="str">
        <f>'Original Dataset'!B8</f>
        <v>Grove Markets</v>
      </c>
      <c r="C8" s="2" t="str">
        <f>'Original Dataset'!C8</f>
        <v>Existing</v>
      </c>
      <c r="D8" s="2" t="str">
        <f>'Original Dataset'!D8</f>
        <v>Stable</v>
      </c>
      <c r="E8" s="2" t="str">
        <f>'Original Dataset'!E8</f>
        <v>12+ mo</v>
      </c>
      <c r="F8" s="2" t="str">
        <f>'Original Dataset'!F8</f>
        <v>Consistent</v>
      </c>
      <c r="G8" s="2" t="str">
        <f>'Original Dataset'!G8</f>
        <v>Same</v>
      </c>
      <c r="H8" s="2" t="str">
        <f>'Original Dataset'!H8</f>
        <v>Shared</v>
      </c>
      <c r="I8" s="2" t="str">
        <f>'Original Dataset'!I8</f>
        <v>Same</v>
      </c>
      <c r="J8" s="2" t="str">
        <f>'Original Dataset'!J8</f>
        <v>Same</v>
      </c>
      <c r="K8" s="2" t="str">
        <f>'Original Dataset'!K8</f>
        <v>Low</v>
      </c>
      <c r="L8" s="2" t="str">
        <f>'Original Dataset'!L8</f>
        <v>No</v>
      </c>
      <c r="M8" s="2" t="str">
        <f>'Original Dataset'!M8</f>
        <v>Low</v>
      </c>
      <c r="N8" s="2">
        <f t="shared" si="0"/>
        <v>0</v>
      </c>
      <c r="O8" s="2" t="str">
        <f t="shared" si="1"/>
        <v>Low</v>
      </c>
      <c r="P8" s="2" t="str">
        <f t="shared" si="2"/>
        <v>Standard onboarding</v>
      </c>
    </row>
    <row r="9" spans="1:16" x14ac:dyDescent="0.25">
      <c r="A9" s="2" t="str">
        <f>'Original Dataset'!A9</f>
        <v>T008</v>
      </c>
      <c r="B9" s="2" t="str">
        <f>'Original Dataset'!B9</f>
        <v>Harbor Loans</v>
      </c>
      <c r="C9" s="2" t="str">
        <f>'Original Dataset'!C9</f>
        <v>New</v>
      </c>
      <c r="D9" s="2" t="str">
        <f>'Original Dataset'!D9</f>
        <v>Thin-file</v>
      </c>
      <c r="E9" s="2" t="str">
        <f>'Original Dataset'!E9</f>
        <v>&lt;1 mo</v>
      </c>
      <c r="F9" s="2" t="str">
        <f>'Original Dataset'!F9</f>
        <v>Mismatched</v>
      </c>
      <c r="G9" s="2" t="str">
        <f>'Original Dataset'!G9</f>
        <v>Reused</v>
      </c>
      <c r="H9" s="2" t="str">
        <f>'Original Dataset'!H9</f>
        <v>Shared</v>
      </c>
      <c r="I9" s="2" t="str">
        <f>'Original Dataset'!I9</f>
        <v>Reused</v>
      </c>
      <c r="J9" s="2" t="str">
        <f>'Original Dataset'!J9</f>
        <v>Shared</v>
      </c>
      <c r="K9" s="2" t="str">
        <f>'Original Dataset'!K9</f>
        <v>High</v>
      </c>
      <c r="L9" s="2" t="str">
        <f>'Original Dataset'!L9</f>
        <v>Yes</v>
      </c>
      <c r="M9" s="2" t="str">
        <f>'Original Dataset'!M9</f>
        <v>High</v>
      </c>
      <c r="N9" s="2">
        <f t="shared" si="0"/>
        <v>13</v>
      </c>
      <c r="O9" s="2" t="str">
        <f t="shared" si="1"/>
        <v>High</v>
      </c>
      <c r="P9" s="2" t="str">
        <f t="shared" si="2"/>
        <v>Investigate and hold for review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Dataset</vt:lpstr>
      <vt:lpstr>Exercise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Eduardo Hinrichsen Picand</cp:lastModifiedBy>
  <dcterms:created xsi:type="dcterms:W3CDTF">2026-05-12T01:24:12Z</dcterms:created>
  <dcterms:modified xsi:type="dcterms:W3CDTF">2026-05-12T01:26:59Z</dcterms:modified>
</cp:coreProperties>
</file>